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P-PT-PMHDT\Tuần 9\1150080068_QLDACNPM\"/>
    </mc:Choice>
  </mc:AlternateContent>
  <xr:revisionPtr revIDLastSave="0" documentId="13_ncr:1_{46C462EB-BF08-4C7B-825B-7D3BFE960F24}" xr6:coauthVersionLast="47" xr6:coauthVersionMax="47" xr10:uidLastSave="{00000000-0000-0000-0000-000000000000}"/>
  <bookViews>
    <workbookView xWindow="-110" yWindow="-110" windowWidth="19420" windowHeight="10300" activeTab="2" xr2:uid="{2B6CEC52-85D2-48C3-BC34-FF9F33400E28}"/>
  </bookViews>
  <sheets>
    <sheet name="WSM(Project)" sheetId="1" r:id="rId1"/>
    <sheet name="WSM(Function)" sheetId="5" r:id="rId2"/>
    <sheet name="NPV" sheetId="2" r:id="rId3"/>
    <sheet name="ROI" sheetId="3" r:id="rId4"/>
    <sheet name="Payback" sheetId="4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2" l="1"/>
  <c r="H6" i="2"/>
  <c r="B7" i="2"/>
  <c r="H7" i="2" s="1"/>
  <c r="C7" i="2"/>
  <c r="D7" i="2"/>
  <c r="E7" i="2"/>
  <c r="F7" i="2"/>
  <c r="F9" i="2" s="1"/>
  <c r="G7" i="2"/>
  <c r="G9" i="2" s="1"/>
  <c r="B8" i="2"/>
  <c r="C8" i="2"/>
  <c r="D8" i="2"/>
  <c r="E8" i="2"/>
  <c r="E9" i="2" s="1"/>
  <c r="F8" i="2"/>
  <c r="G8" i="2"/>
  <c r="B9" i="2"/>
  <c r="H9" i="2" s="1"/>
  <c r="C9" i="2"/>
  <c r="D9" i="2"/>
  <c r="B11" i="2"/>
  <c r="B12" i="2"/>
  <c r="B6" i="3"/>
  <c r="D4" i="4"/>
  <c r="E4" i="4"/>
  <c r="D5" i="4"/>
  <c r="E5" i="4"/>
  <c r="D6" i="4"/>
  <c r="E6" i="4"/>
  <c r="D7" i="4"/>
  <c r="D8" i="4" s="1"/>
  <c r="D9" i="4" s="1"/>
  <c r="E7" i="4"/>
  <c r="E8" i="4"/>
  <c r="E9" i="4" s="1"/>
  <c r="B11" i="4"/>
  <c r="C11" i="1"/>
  <c r="E11" i="1"/>
  <c r="D11" i="1"/>
</calcChain>
</file>

<file path=xl/sharedStrings.xml><?xml version="1.0" encoding="utf-8"?>
<sst xmlns="http://schemas.openxmlformats.org/spreadsheetml/2006/main" count="43" uniqueCount="41">
  <si>
    <t>Tiêu chí</t>
  </si>
  <si>
    <t>Trọng số</t>
  </si>
  <si>
    <t>Phù hợp mục tiêu kinh doanh</t>
  </si>
  <si>
    <t>Có nhà tài trợ nội bộ mạnh</t>
  </si>
  <si>
    <t>Được người dùng ủng hộ</t>
  </si>
  <si>
    <t>Công nghệ thực tiễn/đội quen</t>
  </si>
  <si>
    <t>Hoàn thành ≤ 1 năm</t>
  </si>
  <si>
    <t>NPV dương/hiệu quả tài chính</t>
  </si>
  <si>
    <t>Rủi ro thấp (scope/time/cost)</t>
  </si>
  <si>
    <t>Dự án A</t>
  </si>
  <si>
    <t>Dự án B</t>
  </si>
  <si>
    <t>Dự án C</t>
  </si>
  <si>
    <t>Mô hình WSM cho dự án Ứng dụng cảnh báo sức khỏe dựa trên chỉ số không khí</t>
  </si>
  <si>
    <t>Được tạo bởi: Trần Minh Nhật, Trần Nguyễn Minh Khôi</t>
  </si>
  <si>
    <t>Ngày:27/10/2025</t>
  </si>
  <si>
    <t>TỔNG ĐIỂM TRỌNG SỐ (Σ Trọng số và Σ Điểm × Trọng số)</t>
  </si>
  <si>
    <t>Payback – Cumulative flows</t>
  </si>
  <si>
    <t>Year</t>
  </si>
  <si>
    <t>Costs</t>
  </si>
  <si>
    <t>Benefits</t>
  </si>
  <si>
    <t>Cum Costs</t>
  </si>
  <si>
    <t>Cum Benefits</t>
  </si>
  <si>
    <t>Payback year (simple, est.)</t>
  </si>
  <si>
    <t>ROI – Return on Investment (discounted)</t>
  </si>
  <si>
    <t>Total discounted benefits</t>
  </si>
  <si>
    <t>Total discounted costs</t>
  </si>
  <si>
    <t>ROI = (Discounted benefits − Discounted costs) / Discounted costs</t>
  </si>
  <si>
    <t>NPV – Net Present Value</t>
  </si>
  <si>
    <t>Discount rate</t>
  </si>
  <si>
    <t>YEAR 0</t>
  </si>
  <si>
    <t>YEAR 1</t>
  </si>
  <si>
    <t>YEAR 2</t>
  </si>
  <si>
    <t>YEAR 3</t>
  </si>
  <si>
    <t>YEAR 4</t>
  </si>
  <si>
    <t>YEAR 5</t>
  </si>
  <si>
    <t>TOTAL</t>
  </si>
  <si>
    <t>Cash flow</t>
  </si>
  <si>
    <t>Discount factor</t>
  </si>
  <si>
    <t>Discounted cash flow</t>
  </si>
  <si>
    <t>NPV (SUMPRODUCT method)</t>
  </si>
  <si>
    <t>NPV (NPV() + Year0)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</si>
</sst>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4"/>
      <color indexed="8"/>
      <name val="Calibri"/>
      <charset val="134"/>
    </font>
    <font>
      <b/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9" fontId="0" fillId="0" borderId="2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4" fillId="0" borderId="3" xfId="0" applyNumberFormat="1" applyFont="1" applyFill="1" applyBorder="1" applyAlignment="1" applyProtection="1">
      <alignment horizontal="center" vertical="center"/>
    </xf>
    <xf numFmtId="3" fontId="2" fillId="0" borderId="3" xfId="0" applyNumberFormat="1" applyFont="1" applyFill="1" applyBorder="1" applyAlignment="1" applyProtection="1"/>
    <xf numFmtId="0" fontId="2" fillId="0" borderId="3" xfId="0" applyNumberFormat="1" applyFont="1" applyFill="1" applyBorder="1" applyAlignment="1" applyProtection="1"/>
    <xf numFmtId="10" fontId="2" fillId="0" borderId="3" xfId="0" applyNumberFormat="1" applyFont="1" applyFill="1" applyBorder="1" applyAlignment="1" applyProtection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Tổng điểm trọng số theo dự án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I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('WSM(Project)'!$C$3,'WSM(Project)'!$D$3,'WSM(Project)'!$E$3)</c:f>
              <c:strCache>
                <c:ptCount val="3"/>
                <c:pt idx="0">
                  <c:v>Dự án A</c:v>
                </c:pt>
                <c:pt idx="1">
                  <c:v>Dự án B</c:v>
                </c:pt>
                <c:pt idx="2">
                  <c:v>Dự án C</c:v>
                </c:pt>
              </c:strCache>
            </c:strRef>
          </c:cat>
          <c:val>
            <c:numRef>
              <c:f>('WSM(Project)'!$C$11,'WSM(Project)'!$D$11,'WSM(Project)'!$E$11)</c:f>
              <c:numCache>
                <c:formatCode>General</c:formatCode>
                <c:ptCount val="3"/>
                <c:pt idx="0">
                  <c:v>60</c:v>
                </c:pt>
                <c:pt idx="1">
                  <c:v>80</c:v>
                </c:pt>
                <c:pt idx="2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93-405E-8663-C4733BF52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1279695"/>
        <c:axId val="651279279"/>
      </c:barChart>
      <c:catAx>
        <c:axId val="651279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I"/>
          </a:p>
        </c:txPr>
        <c:crossAx val="651279279"/>
        <c:crosses val="autoZero"/>
        <c:auto val="1"/>
        <c:lblAlgn val="ctr"/>
        <c:lblOffset val="100"/>
        <c:noMultiLvlLbl val="0"/>
      </c:catAx>
      <c:valAx>
        <c:axId val="651279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I"/>
          </a:p>
        </c:txPr>
        <c:crossAx val="651279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98425</xdr:rowOff>
    </xdr:from>
    <xdr:to>
      <xdr:col>13</xdr:col>
      <xdr:colOff>180975</xdr:colOff>
      <xdr:row>10</xdr:row>
      <xdr:rowOff>327025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D7ADE5-F758-4D7E-A1E7-C71E45B271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nance_Tables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back_exampl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E6106-E356-445E-9789-59D2A7AA2689}">
  <dimension ref="A1:E11"/>
  <sheetViews>
    <sheetView workbookViewId="0">
      <selection activeCell="E13" sqref="E13"/>
    </sheetView>
  </sheetViews>
  <sheetFormatPr defaultRowHeight="14.5"/>
  <cols>
    <col min="1" max="1" width="48.6328125" customWidth="1"/>
    <col min="5" max="5" width="11.90625" customWidth="1"/>
  </cols>
  <sheetData>
    <row r="1" spans="1:5">
      <c r="A1" s="6" t="s">
        <v>12</v>
      </c>
      <c r="B1" s="6"/>
      <c r="C1" s="6"/>
      <c r="D1" s="6"/>
      <c r="E1" s="6"/>
    </row>
    <row r="2" spans="1:5">
      <c r="A2" t="s">
        <v>13</v>
      </c>
      <c r="B2" t="s">
        <v>14</v>
      </c>
    </row>
    <row r="3" spans="1:5">
      <c r="A3" t="s">
        <v>0</v>
      </c>
      <c r="B3" t="s">
        <v>1</v>
      </c>
      <c r="C3" t="s">
        <v>9</v>
      </c>
      <c r="D3" t="s">
        <v>10</v>
      </c>
      <c r="E3" t="s">
        <v>11</v>
      </c>
    </row>
    <row r="4" spans="1:5" ht="19" customHeight="1">
      <c r="A4" s="4" t="s">
        <v>2</v>
      </c>
      <c r="B4" s="2">
        <v>0.25</v>
      </c>
      <c r="C4" s="1">
        <v>90</v>
      </c>
      <c r="D4" s="1">
        <v>90</v>
      </c>
      <c r="E4" s="1">
        <v>50</v>
      </c>
    </row>
    <row r="5" spans="1:5" ht="21" customHeight="1">
      <c r="A5" s="4" t="s">
        <v>3</v>
      </c>
      <c r="B5" s="3">
        <v>0.15</v>
      </c>
      <c r="C5" s="1">
        <v>70</v>
      </c>
      <c r="D5" s="1">
        <v>90</v>
      </c>
      <c r="E5" s="1">
        <v>50</v>
      </c>
    </row>
    <row r="6" spans="1:5" ht="23" customHeight="1">
      <c r="A6" s="4" t="s">
        <v>4</v>
      </c>
      <c r="B6" s="3">
        <v>0.15</v>
      </c>
      <c r="C6" s="1">
        <v>50</v>
      </c>
      <c r="D6" s="1">
        <v>90</v>
      </c>
      <c r="E6" s="1">
        <v>50</v>
      </c>
    </row>
    <row r="7" spans="1:5" ht="22.5" customHeight="1">
      <c r="A7" s="4" t="s">
        <v>5</v>
      </c>
      <c r="B7" s="3">
        <v>0.1</v>
      </c>
      <c r="C7" s="1">
        <v>25</v>
      </c>
      <c r="D7" s="1">
        <v>90</v>
      </c>
      <c r="E7" s="1">
        <v>70</v>
      </c>
    </row>
    <row r="8" spans="1:5" ht="25.5" customHeight="1">
      <c r="A8" s="4" t="s">
        <v>6</v>
      </c>
      <c r="B8" s="3">
        <v>0.05</v>
      </c>
      <c r="C8" s="1">
        <v>20</v>
      </c>
      <c r="D8" s="1">
        <v>50</v>
      </c>
      <c r="E8" s="1">
        <v>90</v>
      </c>
    </row>
    <row r="9" spans="1:5" ht="27.5" customHeight="1">
      <c r="A9" s="4" t="s">
        <v>7</v>
      </c>
      <c r="B9" s="3">
        <v>0.2</v>
      </c>
      <c r="C9" s="1">
        <v>70</v>
      </c>
      <c r="D9" s="1">
        <v>70</v>
      </c>
      <c r="E9" s="1">
        <v>50</v>
      </c>
    </row>
    <row r="10" spans="1:5" ht="30.5" customHeight="1">
      <c r="A10" s="4" t="s">
        <v>8</v>
      </c>
      <c r="B10" s="3">
        <v>0.1</v>
      </c>
      <c r="C10" s="1">
        <v>20</v>
      </c>
      <c r="D10" s="1">
        <v>50</v>
      </c>
      <c r="E10" s="1">
        <v>90</v>
      </c>
    </row>
    <row r="11" spans="1:5" ht="32.5" customHeight="1">
      <c r="A11" s="4" t="s">
        <v>15</v>
      </c>
      <c r="B11" s="5">
        <v>1</v>
      </c>
      <c r="C11" s="1">
        <f>SUM(B4*C4,B5*C5,B6*C6,B7*C7,B8*C8,B9*C9,B10*C10)</f>
        <v>60</v>
      </c>
      <c r="D11" s="1">
        <f>SUM(B4*D4,B5*D5,B6*D6,B7*D7,B8*D8,B9*D9,B10*D10)</f>
        <v>80</v>
      </c>
      <c r="E11" s="1">
        <f>SUM(B4*E4,B5*E5,B6*E6,B7*E7,B8*E8,B9*E9,B10*E10)</f>
        <v>58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706CA-217C-4611-B8F2-91D127A5556D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0EC49-A225-4C2A-8382-156F7630B8D1}">
  <dimension ref="A1:H12"/>
  <sheetViews>
    <sheetView tabSelected="1" workbookViewId="0">
      <selection activeCell="D12" sqref="D12"/>
    </sheetView>
  </sheetViews>
  <sheetFormatPr defaultColWidth="19.453125" defaultRowHeight="14.5"/>
  <cols>
    <col min="1" max="1" width="29.453125" style="7" customWidth="1"/>
    <col min="2" max="16384" width="19.453125" style="7"/>
  </cols>
  <sheetData>
    <row r="1" spans="1:8" ht="18.5">
      <c r="A1" s="8" t="s">
        <v>27</v>
      </c>
    </row>
    <row r="2" spans="1:8">
      <c r="A2" s="9" t="s">
        <v>28</v>
      </c>
      <c r="B2" s="12">
        <v>0.1</v>
      </c>
    </row>
    <row r="4" spans="1:8">
      <c r="A4" s="9"/>
      <c r="B4" s="9" t="s">
        <v>29</v>
      </c>
      <c r="C4" s="9" t="s">
        <v>30</v>
      </c>
      <c r="D4" s="9" t="s">
        <v>31</v>
      </c>
      <c r="E4" s="9" t="s">
        <v>32</v>
      </c>
      <c r="F4" s="9" t="s">
        <v>33</v>
      </c>
      <c r="G4" s="9" t="s">
        <v>34</v>
      </c>
      <c r="H4" s="9" t="s">
        <v>35</v>
      </c>
    </row>
    <row r="5" spans="1:8">
      <c r="A5" s="9" t="s">
        <v>19</v>
      </c>
      <c r="B5" s="10">
        <v>0</v>
      </c>
      <c r="C5" s="10">
        <v>60000000</v>
      </c>
      <c r="D5" s="10">
        <v>80000000</v>
      </c>
      <c r="E5" s="10">
        <v>100000000</v>
      </c>
      <c r="F5" s="10">
        <v>120000000</v>
      </c>
      <c r="G5" s="10">
        <v>140000000</v>
      </c>
      <c r="H5" s="10">
        <f>SUM(B5:G5)</f>
        <v>500000000</v>
      </c>
    </row>
    <row r="6" spans="1:8">
      <c r="A6" s="9" t="s">
        <v>18</v>
      </c>
      <c r="B6" s="10">
        <v>120000000</v>
      </c>
      <c r="C6" s="10">
        <v>40000000</v>
      </c>
      <c r="D6" s="10">
        <v>15000000</v>
      </c>
      <c r="E6" s="10">
        <v>12000000</v>
      </c>
      <c r="F6" s="10">
        <v>12000000</v>
      </c>
      <c r="G6" s="10">
        <v>12000000</v>
      </c>
      <c r="H6" s="10">
        <f>SUM(B6:G6)</f>
        <v>211000000</v>
      </c>
    </row>
    <row r="7" spans="1:8">
      <c r="A7" s="9" t="s">
        <v>36</v>
      </c>
      <c r="B7" s="10">
        <f>B5-B6</f>
        <v>-120000000</v>
      </c>
      <c r="C7" s="10">
        <f>C5-C6</f>
        <v>20000000</v>
      </c>
      <c r="D7" s="10">
        <f>D5-D6</f>
        <v>65000000</v>
      </c>
      <c r="E7" s="10">
        <f>E5-E6</f>
        <v>88000000</v>
      </c>
      <c r="F7" s="10">
        <f>F5-F6</f>
        <v>108000000</v>
      </c>
      <c r="G7" s="10">
        <f>G5-G6</f>
        <v>128000000</v>
      </c>
      <c r="H7" s="10">
        <f>SUM(B7:G7)</f>
        <v>289000000</v>
      </c>
    </row>
    <row r="8" spans="1:8">
      <c r="A8" s="9" t="s">
        <v>37</v>
      </c>
      <c r="B8" s="11">
        <f>1/(1+$B$2)^0</f>
        <v>1</v>
      </c>
      <c r="C8" s="11">
        <f>1/(1+$B$2)^1</f>
        <v>0.90909090909090906</v>
      </c>
      <c r="D8" s="11">
        <f>1/(1+$B$2)^2</f>
        <v>0.82644628099173545</v>
      </c>
      <c r="E8" s="11">
        <f>1/(1+$B$2)^3</f>
        <v>0.75131480090157754</v>
      </c>
      <c r="F8" s="11">
        <f>1/(1+$B$2)^4</f>
        <v>0.68301345536507052</v>
      </c>
      <c r="G8" s="11">
        <f>1/(1+$B$2)^5</f>
        <v>0.62092132305915493</v>
      </c>
      <c r="H8" s="11"/>
    </row>
    <row r="9" spans="1:8">
      <c r="A9" s="9" t="s">
        <v>38</v>
      </c>
      <c r="B9" s="10">
        <f>B7*B8</f>
        <v>-120000000</v>
      </c>
      <c r="C9" s="10">
        <f>C7*C8</f>
        <v>18181818.18181818</v>
      </c>
      <c r="D9" s="10">
        <f>D7*D8</f>
        <v>53719008.264462806</v>
      </c>
      <c r="E9" s="10">
        <f>E7*E8</f>
        <v>66115702.479338825</v>
      </c>
      <c r="F9" s="10">
        <f>F7*F8</f>
        <v>73765453.179427609</v>
      </c>
      <c r="G9" s="10">
        <f>G7*G8</f>
        <v>79477929.351571828</v>
      </c>
      <c r="H9" s="10">
        <f>SUM(B9:G9)</f>
        <v>171259911.45661926</v>
      </c>
    </row>
    <row r="11" spans="1:8">
      <c r="A11" s="9" t="s">
        <v>39</v>
      </c>
      <c r="B11" s="10">
        <f>SUMPRODUCT(B7:G7,B8:G8)</f>
        <v>171259911.45661926</v>
      </c>
    </row>
    <row r="12" spans="1:8">
      <c r="A12" s="9" t="s">
        <v>40</v>
      </c>
      <c r="B12" s="10">
        <f>B7+NPV($B$2,C7:G7)</f>
        <v>171259911.45661926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147EA-9FBB-4158-93C5-EEC4CAAD726E}">
  <dimension ref="A1:B6"/>
  <sheetViews>
    <sheetView workbookViewId="0">
      <selection activeCell="G15" sqref="G15"/>
    </sheetView>
  </sheetViews>
  <sheetFormatPr defaultRowHeight="14.5"/>
  <cols>
    <col min="1" max="1" width="57.90625" customWidth="1"/>
    <col min="2" max="2" width="22.08984375" customWidth="1"/>
  </cols>
  <sheetData>
    <row r="1" spans="1:2" ht="18.5">
      <c r="A1" s="8" t="s">
        <v>23</v>
      </c>
      <c r="B1" s="7"/>
    </row>
    <row r="2" spans="1:2">
      <c r="A2" s="7"/>
      <c r="B2" s="7"/>
    </row>
    <row r="3" spans="1:2">
      <c r="A3" s="9" t="s">
        <v>24</v>
      </c>
      <c r="B3" s="10">
        <v>364683236.987041</v>
      </c>
    </row>
    <row r="4" spans="1:2">
      <c r="A4" s="9" t="s">
        <v>25</v>
      </c>
      <c r="B4" s="10">
        <v>193423325.530422</v>
      </c>
    </row>
    <row r="5" spans="1:2">
      <c r="A5" s="7"/>
      <c r="B5" s="7"/>
    </row>
    <row r="6" spans="1:2">
      <c r="A6" s="9" t="s">
        <v>26</v>
      </c>
      <c r="B6" s="11">
        <f>(B3-B4)/B4</f>
        <v>0.88541498801644214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A8944-A669-4B3A-8AF3-0D2EA8529414}">
  <dimension ref="A1:E11"/>
  <sheetViews>
    <sheetView workbookViewId="0">
      <selection activeCell="F10" sqref="F10"/>
    </sheetView>
  </sheetViews>
  <sheetFormatPr defaultRowHeight="14.5"/>
  <cols>
    <col min="1" max="1" width="31.1796875" style="7" customWidth="1"/>
    <col min="2" max="2" width="21" style="7" customWidth="1"/>
    <col min="3" max="3" width="16.08984375" style="7" customWidth="1"/>
    <col min="4" max="4" width="17.453125" style="7" customWidth="1"/>
    <col min="5" max="5" width="18" style="7" customWidth="1"/>
    <col min="6" max="16384" width="8.7265625" style="7"/>
  </cols>
  <sheetData>
    <row r="1" spans="1:5" ht="18.5">
      <c r="A1" s="8" t="s">
        <v>16</v>
      </c>
    </row>
    <row r="3" spans="1:5">
      <c r="A3" s="9" t="s">
        <v>17</v>
      </c>
      <c r="B3" s="9" t="s">
        <v>18</v>
      </c>
      <c r="C3" s="9" t="s">
        <v>19</v>
      </c>
      <c r="D3" s="9" t="s">
        <v>20</v>
      </c>
      <c r="E3" s="9" t="s">
        <v>21</v>
      </c>
    </row>
    <row r="4" spans="1:5">
      <c r="A4" s="7">
        <v>0</v>
      </c>
      <c r="B4" s="10">
        <v>120000000</v>
      </c>
      <c r="C4" s="10">
        <v>0</v>
      </c>
      <c r="D4" s="10">
        <f>B4</f>
        <v>120000000</v>
      </c>
      <c r="E4" s="10">
        <f>C4</f>
        <v>0</v>
      </c>
    </row>
    <row r="5" spans="1:5">
      <c r="A5" s="7">
        <v>1</v>
      </c>
      <c r="B5" s="10">
        <v>40000000</v>
      </c>
      <c r="C5" s="10">
        <v>60000000</v>
      </c>
      <c r="D5" s="10">
        <f>D4+B5</f>
        <v>160000000</v>
      </c>
      <c r="E5" s="10">
        <f>E4+C5</f>
        <v>60000000</v>
      </c>
    </row>
    <row r="6" spans="1:5">
      <c r="A6" s="7">
        <v>2</v>
      </c>
      <c r="B6" s="10">
        <v>15000000</v>
      </c>
      <c r="C6" s="10">
        <v>80000000</v>
      </c>
      <c r="D6" s="10">
        <f>D5+B6</f>
        <v>175000000</v>
      </c>
      <c r="E6" s="10">
        <f>E5+C6</f>
        <v>140000000</v>
      </c>
    </row>
    <row r="7" spans="1:5">
      <c r="A7" s="7">
        <v>3</v>
      </c>
      <c r="B7" s="10">
        <v>12000000</v>
      </c>
      <c r="C7" s="10">
        <v>100000000</v>
      </c>
      <c r="D7" s="10">
        <f>D6+B7</f>
        <v>187000000</v>
      </c>
      <c r="E7" s="10">
        <f>E6+C7</f>
        <v>240000000</v>
      </c>
    </row>
    <row r="8" spans="1:5">
      <c r="A8" s="7">
        <v>4</v>
      </c>
      <c r="B8" s="10">
        <v>12000000</v>
      </c>
      <c r="C8" s="10">
        <v>120000000</v>
      </c>
      <c r="D8" s="10">
        <f>D7+B8</f>
        <v>199000000</v>
      </c>
      <c r="E8" s="10">
        <f>E7+C8</f>
        <v>360000000</v>
      </c>
    </row>
    <row r="9" spans="1:5">
      <c r="A9" s="7">
        <v>5</v>
      </c>
      <c r="B9" s="10">
        <v>12000000</v>
      </c>
      <c r="C9" s="10">
        <v>140000000</v>
      </c>
      <c r="D9" s="10">
        <f>D8+B9</f>
        <v>211000000</v>
      </c>
      <c r="E9" s="10">
        <f>E8+C9</f>
        <v>500000000</v>
      </c>
    </row>
    <row r="11" spans="1:5">
      <c r="A11" s="9" t="s">
        <v>22</v>
      </c>
      <c r="B11" s="7" t="str">
        <f>IFERROR((MATCH(TRUE,(_xlfn.SINGLE(E4:E10)-_xlfn.SINGLE(D4:D10))&gt;=0,0)-2)+ABS(_xlfn.SINGLE(INDEX(E4:E10,MATCH(TRUE,(_xlfn.SINGLE(E4:E10)-_xlfn.SINGLE(D4:D10))&gt;=0,0)-1))-_xlfn.SINGLE(INDEX(D4:D10,MATCH(TRUE,(_xlfn.SINGLE(E4:E10)-_xlfn.SINGLE(D4:D10))&gt;=0,0)-1)))/(_xlfn.SINGLE(INDEX(E4:E10,MATCH(TRUE,(_xlfn.SINGLE(E4:E10)-_xlfn.SINGLE(D4:D10))&gt;=0,0)))-_xlfn.SINGLE(INDEX(D4:D10,MATCH(TRUE,(_xlfn.SINGLE(E4:E10)-_xlfn.SINGLE(D4:D10))&gt;=0,0)))),"Chưa hoàn vốn")</f>
        <v>Chưa hoàn vốn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WSM(Project)</vt:lpstr>
      <vt:lpstr>WSM(Function)</vt:lpstr>
      <vt:lpstr>NPV</vt:lpstr>
      <vt:lpstr>ROI</vt:lpstr>
      <vt:lpstr>Payback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Trần Minh Nhật</dc:creator>
  <cp:lastModifiedBy>. Trần Minh Nhật</cp:lastModifiedBy>
  <dcterms:created xsi:type="dcterms:W3CDTF">2025-10-27T02:58:35Z</dcterms:created>
  <dcterms:modified xsi:type="dcterms:W3CDTF">2025-10-27T07:54:40Z</dcterms:modified>
</cp:coreProperties>
</file>