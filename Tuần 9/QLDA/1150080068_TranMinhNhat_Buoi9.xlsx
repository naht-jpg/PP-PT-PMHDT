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-PT-PMHDT\Tuần 9\QLDA\"/>
    </mc:Choice>
  </mc:AlternateContent>
  <xr:revisionPtr revIDLastSave="0" documentId="13_ncr:1_{1E2323A0-0845-4C11-85F3-34F06460FD0F}" xr6:coauthVersionLast="47" xr6:coauthVersionMax="47" xr10:uidLastSave="{00000000-0000-0000-0000-000000000000}"/>
  <bookViews>
    <workbookView xWindow="-110" yWindow="-110" windowWidth="19420" windowHeight="10300" xr2:uid="{2B6CEC52-85D2-48C3-BC34-FF9F33400E28}"/>
  </bookViews>
  <sheets>
    <sheet name="WSM(Project)" sheetId="1" r:id="rId1"/>
    <sheet name="WSM(Function)" sheetId="5" r:id="rId2"/>
    <sheet name="NPV" sheetId="2" r:id="rId3"/>
    <sheet name="ROI" sheetId="3" r:id="rId4"/>
    <sheet name="Payback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E11" i="1"/>
  <c r="D11" i="1"/>
</calcChain>
</file>

<file path=xl/sharedStrings.xml><?xml version="1.0" encoding="utf-8"?>
<sst xmlns="http://schemas.openxmlformats.org/spreadsheetml/2006/main" count="16" uniqueCount="16">
  <si>
    <t>Tiêu chí</t>
  </si>
  <si>
    <t>Trọng số</t>
  </si>
  <si>
    <t>Phù hợp mục tiêu kinh doanh</t>
  </si>
  <si>
    <t>Có nhà tài trợ nội bộ mạnh</t>
  </si>
  <si>
    <t>Được người dùng ủng hộ</t>
  </si>
  <si>
    <t>Công nghệ thực tiễn/đội quen</t>
  </si>
  <si>
    <t>Hoàn thành ≤ 1 năm</t>
  </si>
  <si>
    <t>NPV dương/hiệu quả tài chính</t>
  </si>
  <si>
    <t>Rủi ro thấp (scope/time/cost)</t>
  </si>
  <si>
    <t>Dự án A</t>
  </si>
  <si>
    <t>Dự án B</t>
  </si>
  <si>
    <t>Dự án C</t>
  </si>
  <si>
    <t>Mô hình WSM cho dự án Ứng dụng cảnh báo sức khỏe dựa trên chỉ số không khí</t>
  </si>
  <si>
    <t>Được tạo bởi: Trần Minh Nhật, Trần Nguyễn Minh Khôi</t>
  </si>
  <si>
    <t>Ngày:27/10/2025</t>
  </si>
  <si>
    <t>TỔNG ĐIỂM TRỌNG SỐ (Σ Trọng số và Σ Điểm × Trọng số)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</si>
</sst>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9" fontId="0" fillId="0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 điểm trọng số theo dự 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('WSM(Project)'!$C$3,'WSM(Project)'!$D$3,'WSM(Project)'!$E$3)</c:f>
              <c:strCache>
                <c:ptCount val="3"/>
                <c:pt idx="0">
                  <c:v>Dự án A</c:v>
                </c:pt>
                <c:pt idx="1">
                  <c:v>Dự án B</c:v>
                </c:pt>
                <c:pt idx="2">
                  <c:v>Dự án C</c:v>
                </c:pt>
              </c:strCache>
            </c:strRef>
          </c:cat>
          <c:val>
            <c:numRef>
              <c:f>('WSM(Project)'!$C$11,'WSM(Project)'!$D$11,'WSM(Project)'!$E$11)</c:f>
              <c:numCache>
                <c:formatCode>General</c:formatCode>
                <c:ptCount val="3"/>
                <c:pt idx="0">
                  <c:v>60</c:v>
                </c:pt>
                <c:pt idx="1">
                  <c:v>80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3-405E-8663-C4733BF5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279695"/>
        <c:axId val="651279279"/>
      </c:barChart>
      <c:catAx>
        <c:axId val="65127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651279279"/>
        <c:crosses val="autoZero"/>
        <c:auto val="1"/>
        <c:lblAlgn val="ctr"/>
        <c:lblOffset val="100"/>
        <c:noMultiLvlLbl val="0"/>
      </c:catAx>
      <c:valAx>
        <c:axId val="65127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65127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98425</xdr:rowOff>
    </xdr:from>
    <xdr:to>
      <xdr:col>13</xdr:col>
      <xdr:colOff>180975</xdr:colOff>
      <xdr:row>10</xdr:row>
      <xdr:rowOff>327025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D7ADE5-F758-4D7E-A1E7-C71E45B27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6106-E356-445E-9789-59D2A7AA2689}">
  <dimension ref="A1:E11"/>
  <sheetViews>
    <sheetView tabSelected="1" workbookViewId="0">
      <selection activeCell="E13" sqref="E13"/>
    </sheetView>
  </sheetViews>
  <sheetFormatPr defaultRowHeight="14.5" x14ac:dyDescent="0.35"/>
  <cols>
    <col min="1" max="1" width="48.6328125" customWidth="1"/>
    <col min="5" max="5" width="11.90625" customWidth="1"/>
  </cols>
  <sheetData>
    <row r="1" spans="1:5" x14ac:dyDescent="0.35">
      <c r="A1" s="6" t="s">
        <v>12</v>
      </c>
      <c r="B1" s="6"/>
      <c r="C1" s="6"/>
      <c r="D1" s="6"/>
      <c r="E1" s="6"/>
    </row>
    <row r="2" spans="1:5" x14ac:dyDescent="0.35">
      <c r="A2" t="s">
        <v>13</v>
      </c>
      <c r="B2" t="s">
        <v>14</v>
      </c>
    </row>
    <row r="3" spans="1:5" x14ac:dyDescent="0.35">
      <c r="A3" t="s">
        <v>0</v>
      </c>
      <c r="B3" t="s">
        <v>1</v>
      </c>
      <c r="C3" t="s">
        <v>9</v>
      </c>
      <c r="D3" t="s">
        <v>10</v>
      </c>
      <c r="E3" t="s">
        <v>11</v>
      </c>
    </row>
    <row r="4" spans="1:5" ht="19" customHeight="1" x14ac:dyDescent="0.35">
      <c r="A4" s="4" t="s">
        <v>2</v>
      </c>
      <c r="B4" s="2">
        <v>0.25</v>
      </c>
      <c r="C4" s="1">
        <v>90</v>
      </c>
      <c r="D4" s="1">
        <v>90</v>
      </c>
      <c r="E4" s="1">
        <v>50</v>
      </c>
    </row>
    <row r="5" spans="1:5" ht="21" customHeight="1" x14ac:dyDescent="0.35">
      <c r="A5" s="4" t="s">
        <v>3</v>
      </c>
      <c r="B5" s="3">
        <v>0.15</v>
      </c>
      <c r="C5" s="1">
        <v>70</v>
      </c>
      <c r="D5" s="1">
        <v>90</v>
      </c>
      <c r="E5" s="1">
        <v>50</v>
      </c>
    </row>
    <row r="6" spans="1:5" ht="23" customHeight="1" x14ac:dyDescent="0.35">
      <c r="A6" s="4" t="s">
        <v>4</v>
      </c>
      <c r="B6" s="3">
        <v>0.15</v>
      </c>
      <c r="C6" s="1">
        <v>50</v>
      </c>
      <c r="D6" s="1">
        <v>90</v>
      </c>
      <c r="E6" s="1">
        <v>50</v>
      </c>
    </row>
    <row r="7" spans="1:5" ht="22.5" customHeight="1" x14ac:dyDescent="0.35">
      <c r="A7" s="4" t="s">
        <v>5</v>
      </c>
      <c r="B7" s="3">
        <v>0.1</v>
      </c>
      <c r="C7" s="1">
        <v>25</v>
      </c>
      <c r="D7" s="1">
        <v>90</v>
      </c>
      <c r="E7" s="1">
        <v>70</v>
      </c>
    </row>
    <row r="8" spans="1:5" ht="25.5" customHeight="1" x14ac:dyDescent="0.35">
      <c r="A8" s="4" t="s">
        <v>6</v>
      </c>
      <c r="B8" s="3">
        <v>0.05</v>
      </c>
      <c r="C8" s="1">
        <v>20</v>
      </c>
      <c r="D8" s="1">
        <v>50</v>
      </c>
      <c r="E8" s="1">
        <v>90</v>
      </c>
    </row>
    <row r="9" spans="1:5" ht="27.5" customHeight="1" x14ac:dyDescent="0.35">
      <c r="A9" s="4" t="s">
        <v>7</v>
      </c>
      <c r="B9" s="3">
        <v>0.2</v>
      </c>
      <c r="C9" s="1">
        <v>70</v>
      </c>
      <c r="D9" s="1">
        <v>70</v>
      </c>
      <c r="E9" s="1">
        <v>50</v>
      </c>
    </row>
    <row r="10" spans="1:5" ht="30.5" customHeight="1" x14ac:dyDescent="0.35">
      <c r="A10" s="4" t="s">
        <v>8</v>
      </c>
      <c r="B10" s="3">
        <v>0.1</v>
      </c>
      <c r="C10" s="1">
        <v>20</v>
      </c>
      <c r="D10" s="1">
        <v>50</v>
      </c>
      <c r="E10" s="1">
        <v>90</v>
      </c>
    </row>
    <row r="11" spans="1:5" ht="32.5" customHeight="1" x14ac:dyDescent="0.35">
      <c r="A11" s="4" t="s">
        <v>15</v>
      </c>
      <c r="B11" s="5">
        <v>1</v>
      </c>
      <c r="C11" s="1">
        <f>SUM(B4*C4,B5*C5,B6*C6,B7*C7,B8*C8,B9*C9,B10*C10)</f>
        <v>60</v>
      </c>
      <c r="D11" s="1">
        <f>SUM(B4*D4,B5*D5,B6*D6,B7*D7,B8*D8,B9*D9,B10*D10)</f>
        <v>80</v>
      </c>
      <c r="E11" s="1">
        <f>SUM(B4*E4,B5*E5,B6*E6,B7*E7,B8*E8,B9*E9,B10*E10)</f>
        <v>58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06CA-217C-4611-B8F2-91D127A5556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EC49-A225-4C2A-8382-156F7630B8D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47EA-9FBB-4158-93C5-EEC4CAAD72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8944-A669-4B3A-8AF3-0D2EA8529414}">
  <dimension ref="A1"/>
  <sheetViews>
    <sheetView workbookViewId="0">
      <selection activeCell="E11" sqref="A1:E11"/>
    </sheetView>
  </sheetViews>
  <sheetFormatPr defaultRowHeight="14.5" x14ac:dyDescent="0.35"/>
  <cols>
    <col min="1" max="1" width="36.08984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WSM(Project)</vt:lpstr>
      <vt:lpstr>WSM(Function)</vt:lpstr>
      <vt:lpstr>NPV</vt:lpstr>
      <vt:lpstr>ROI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2025-10-27T02:58:35Z</dcterms:created>
  <dcterms:modified xsi:type="dcterms:W3CDTF">2025-10-27T04:12:05Z</dcterms:modified>
</cp:coreProperties>
</file>