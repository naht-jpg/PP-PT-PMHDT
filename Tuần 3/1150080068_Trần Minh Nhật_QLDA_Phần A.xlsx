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P-PT-PMHDT\Tuần 3\"/>
    </mc:Choice>
  </mc:AlternateContent>
  <xr:revisionPtr revIDLastSave="0" documentId="13_ncr:1_{D2389058-31F6-49DF-A0BD-3262BE43CCC8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  <sheet name="Bài 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9" l="1"/>
  <c r="C19" i="9"/>
  <c r="C15" i="9"/>
  <c r="B15" i="9"/>
  <c r="C14" i="9"/>
  <c r="B14" i="9"/>
  <c r="C13" i="9"/>
  <c r="B13" i="9"/>
  <c r="C12" i="9"/>
  <c r="B12" i="9"/>
  <c r="C10" i="8"/>
  <c r="C16" i="7"/>
  <c r="C15" i="7"/>
  <c r="H11" i="7"/>
  <c r="H10" i="7"/>
  <c r="H9" i="7"/>
  <c r="H8" i="7"/>
  <c r="H7" i="7"/>
  <c r="H4" i="7"/>
  <c r="C9" i="6"/>
  <c r="C5" i="6"/>
  <c r="C4" i="6"/>
  <c r="C16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C25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C10" i="3"/>
  <c r="C9" i="3"/>
  <c r="I54" i="2"/>
  <c r="H54" i="2"/>
  <c r="G54" i="2"/>
  <c r="F54" i="2"/>
  <c r="E54" i="2"/>
  <c r="D54" i="2"/>
  <c r="C54" i="2"/>
  <c r="B54" i="2"/>
  <c r="I53" i="2"/>
  <c r="H53" i="2"/>
  <c r="G53" i="2"/>
  <c r="F53" i="2"/>
  <c r="E53" i="2"/>
  <c r="D53" i="2"/>
  <c r="C53" i="2"/>
  <c r="B53" i="2"/>
  <c r="C49" i="2"/>
  <c r="C48" i="2"/>
  <c r="C47" i="2"/>
  <c r="C46" i="2"/>
  <c r="C45" i="2"/>
  <c r="C44" i="2"/>
  <c r="C43" i="2"/>
  <c r="C42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C26" i="2"/>
  <c r="C25" i="2"/>
  <c r="C24" i="2"/>
  <c r="C23" i="2"/>
  <c r="C22" i="2"/>
  <c r="C21" i="2"/>
  <c r="C20" i="2"/>
  <c r="C19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C45" i="1"/>
  <c r="C44" i="1"/>
  <c r="C43" i="1"/>
  <c r="C42" i="1"/>
  <c r="C41" i="1"/>
  <c r="C40" i="1"/>
  <c r="C39" i="1"/>
  <c r="C38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C24" i="1"/>
  <c r="C23" i="1"/>
  <c r="C22" i="1"/>
  <c r="C21" i="1"/>
  <c r="C20" i="1"/>
  <c r="C19" i="1"/>
  <c r="C18" i="1"/>
  <c r="C17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</calcChain>
</file>

<file path=xl/sharedStrings.xml><?xml version="1.0" encoding="utf-8"?>
<sst xmlns="http://schemas.openxmlformats.org/spreadsheetml/2006/main" count="284" uniqueCount="141">
  <si>
    <t xml:space="preserve">Bài 1 </t>
  </si>
  <si>
    <t>Thông số</t>
  </si>
  <si>
    <t>Giá trị</t>
  </si>
  <si>
    <t>Tỷ lệ chiết khấu r</t>
  </si>
  <si>
    <t>Dự án 1 – Bảng dòng tiền</t>
  </si>
  <si>
    <t>Năm</t>
  </si>
  <si>
    <t>Chi phí C_t</t>
  </si>
  <si>
    <t>Lợi ích B_t</t>
  </si>
  <si>
    <t>CF_t = B_t − C_t</t>
  </si>
  <si>
    <t>1/(1+r)^t</t>
  </si>
  <si>
    <t>PV(CF_t)</t>
  </si>
  <si>
    <t>PV tích luỹ</t>
  </si>
  <si>
    <t>KẾT QUẢ – Dự án 1</t>
  </si>
  <si>
    <t>Chỉ tiêu</t>
  </si>
  <si>
    <t>Ý nghĩa</t>
  </si>
  <si>
    <t>Kết quả</t>
  </si>
  <si>
    <t>PV(B)</t>
  </si>
  <si>
    <t>Tổng lợi ích quy về hiện tại</t>
  </si>
  <si>
    <t>PV(C)</t>
  </si>
  <si>
    <t>Tổng chi phí quy về hiện tại</t>
  </si>
  <si>
    <t>NPV (triệu)</t>
  </si>
  <si>
    <t>Giá trị hiện tại thuần</t>
  </si>
  <si>
    <t>NPV/PV(C)</t>
  </si>
  <si>
    <t>Lợi nhuận ròng trên 1 đồng vốn</t>
  </si>
  <si>
    <t>BCR</t>
  </si>
  <si>
    <t>Tỷ số lợi ích/chi phí</t>
  </si>
  <si>
    <t>IRR (%/năm)</t>
  </si>
  <si>
    <t>Lãi suất hoà vốn của dự án</t>
  </si>
  <si>
    <t>Payback (năm)</t>
  </si>
  <si>
    <t>Thời gian hoàn vốn – không chiết khấu</t>
  </si>
  <si>
    <t>Discounted Payback (năm)</t>
  </si>
  <si>
    <t>Thời gian hoàn vốn – có chiết khấu</t>
  </si>
  <si>
    <t>Dự án 2 – Bảng dòng tiền</t>
  </si>
  <si>
    <t>CF_t</t>
  </si>
  <si>
    <t>KẾT QUẢ – Dự án 2</t>
  </si>
  <si>
    <t>Tổng hợp</t>
  </si>
  <si>
    <t>Dự án</t>
  </si>
  <si>
    <t>PV(B) (triệu)</t>
  </si>
  <si>
    <t>PV(C) (triệu)</t>
  </si>
  <si>
    <t>Dự án 1</t>
  </si>
  <si>
    <t>Dự án 2</t>
  </si>
  <si>
    <t>Bài 2</t>
  </si>
  <si>
    <t>Dự án A – Bảng dòng tiền</t>
  </si>
  <si>
    <t>Dòng vào</t>
  </si>
  <si>
    <t>Dòng ra</t>
  </si>
  <si>
    <t>CF_t = In − Out</t>
  </si>
  <si>
    <t>KẾT QUẢ – Dự án A</t>
  </si>
  <si>
    <t>PV(Dòng vào)</t>
  </si>
  <si>
    <t>Tổng inflow quy hiện tại</t>
  </si>
  <si>
    <t>PV(Dòng ra)</t>
  </si>
  <si>
    <t>Tổng outflow quy hiện tại</t>
  </si>
  <si>
    <t>NPV/PV(Out)</t>
  </si>
  <si>
    <t>Lợi nhuận ròng/1 đồng outflow</t>
  </si>
  <si>
    <t>Lãi suất hoà vốn</t>
  </si>
  <si>
    <t>Hoàn vốn – không chiết khấu</t>
  </si>
  <si>
    <t>Hoàn vốn – có chiết khấu</t>
  </si>
  <si>
    <t>Dự án B – Bảng dòng tiền</t>
  </si>
  <si>
    <t>KẾT QUẢ – Dự án B</t>
  </si>
  <si>
    <t>PV(In) (triệu)</t>
  </si>
  <si>
    <t>PV(Out) (triệu)</t>
  </si>
  <si>
    <t>Dự án A</t>
  </si>
  <si>
    <t>Dự án B</t>
  </si>
  <si>
    <t>Bài 3</t>
  </si>
  <si>
    <t>Chi phí đầu tư</t>
  </si>
  <si>
    <t>Dòng tiền ròng hàng năm</t>
  </si>
  <si>
    <t>A</t>
  </si>
  <si>
    <t>B</t>
  </si>
  <si>
    <t>KẾT QUẢ CUỐI</t>
  </si>
  <si>
    <t>Payback – Dự án A</t>
  </si>
  <si>
    <t>Số năm hoàn vốn (không chiết khấu)</t>
  </si>
  <si>
    <t>Payback – Dự án B</t>
  </si>
  <si>
    <t xml:space="preserve">Bài 4 </t>
  </si>
  <si>
    <t>r</t>
  </si>
  <si>
    <t>CF_t ($)</t>
  </si>
  <si>
    <t>Đánh dấu cross</t>
  </si>
  <si>
    <t/>
  </si>
  <si>
    <t>KẾT QUẢ</t>
  </si>
  <si>
    <t>Số năm để PV tích luỹ = 0</t>
  </si>
  <si>
    <t xml:space="preserve">Bài 5 </t>
  </si>
  <si>
    <t>t</t>
  </si>
  <si>
    <t xml:space="preserve">Bài 6 </t>
  </si>
  <si>
    <t>Khoản mục</t>
  </si>
  <si>
    <t>Mốc thời gian</t>
  </si>
  <si>
    <t>Quy đổi về cuối năm 3</t>
  </si>
  <si>
    <t>Ghi chú</t>
  </si>
  <si>
    <t>Năm 2</t>
  </si>
  <si>
    <t>Vốn hoá 1 năm</t>
  </si>
  <si>
    <t>Năm 5</t>
  </si>
  <si>
    <t>Chiết khấu 2 năm</t>
  </si>
  <si>
    <t>KẾT QỦA</t>
  </si>
  <si>
    <t>Số tiền tất toán (triệu)</t>
  </si>
  <si>
    <t>Chi trả 1 lần tại cuối năm 3</t>
  </si>
  <si>
    <t xml:space="preserve">Bài 7 </t>
  </si>
  <si>
    <t>Tiêu chí</t>
  </si>
  <si>
    <t>Nhà tài trợ mạnh</t>
  </si>
  <si>
    <t>Hỗ trợ chiến lược KD</t>
  </si>
  <si>
    <t>Tính cấp thiết</t>
  </si>
  <si>
    <t>10% doanh số SP mới</t>
  </si>
  <si>
    <t>Cạnh tranh</t>
  </si>
  <si>
    <t>Lấp đầy khoảng trống TT</t>
  </si>
  <si>
    <t>Tổng trọng số</t>
  </si>
  <si>
    <t>Trọng số</t>
  </si>
  <si>
    <t>Tổng điểm có trọng số</t>
  </si>
  <si>
    <t>Dự án 3</t>
  </si>
  <si>
    <t>Dự án 4</t>
  </si>
  <si>
    <t>Dự án 5</t>
  </si>
  <si>
    <t>Dự án cao nhất</t>
  </si>
  <si>
    <t>Theo tổng điểm có trọng số</t>
  </si>
  <si>
    <t>Dự án thấp nhất</t>
  </si>
  <si>
    <t xml:space="preserve">Bài 8 </t>
  </si>
  <si>
    <t>Ký hiệu</t>
  </si>
  <si>
    <t>Mô tả</t>
  </si>
  <si>
    <t>Khoản trả mỗi tháng</t>
  </si>
  <si>
    <t>n</t>
  </si>
  <si>
    <t>Số tháng</t>
  </si>
  <si>
    <t>i</t>
  </si>
  <si>
    <t>Lãi suất/tháng</t>
  </si>
  <si>
    <t>PV (triệu)</t>
  </si>
  <si>
    <t>Tiền trả ngay tương đương</t>
  </si>
  <si>
    <t>Bài 9</t>
  </si>
  <si>
    <t>Tham số</t>
  </si>
  <si>
    <t>P</t>
  </si>
  <si>
    <t>Gốc ban đầu (triệu)</t>
  </si>
  <si>
    <t>Lãi suất năm</t>
  </si>
  <si>
    <t>k</t>
  </si>
  <si>
    <t>Số kỳ đã trả</t>
  </si>
  <si>
    <t>A_cũ</t>
  </si>
  <si>
    <t>Trả mỗi năm hiện tại (triệu)</t>
  </si>
  <si>
    <t>m</t>
  </si>
  <si>
    <t>Số năm muốn trả tiếp</t>
  </si>
  <si>
    <t>Bảng hệ số</t>
  </si>
  <si>
    <t>Bước tính</t>
  </si>
  <si>
    <t>Công thức</t>
  </si>
  <si>
    <t>(1+i)^k</t>
  </si>
  <si>
    <t>a_k=((1+i)^k-1)/i</t>
  </si>
  <si>
    <t>Dư nợ B_k</t>
  </si>
  <si>
    <t>a_m=((1+i)^m-1)/(i(1+i)^m)</t>
  </si>
  <si>
    <t>Dư nợ còn lại sau 7 kỳ (triệu)</t>
  </si>
  <si>
    <t>Giá trị tại thời điểm sau kỳ thứ 7</t>
  </si>
  <si>
    <t>Khoản trả mới X (triệu/năm)</t>
  </si>
  <si>
    <t>Dàn đều trong 5 năm để PV nghĩa vụ = Dư nợ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</si>
</sst>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0FF"/>
        <bgColor rgb="FFE6F0FF"/>
      </patternFill>
    </fill>
    <fill>
      <patternFill patternType="solid">
        <fgColor rgb="FFEDEDED"/>
        <bgColor rgb="FFEDEDED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2" fillId="0" borderId="0" xfId="0" applyFont="1"/>
    <xf numFmtId="0" fontId="2" fillId="3" borderId="0" xfId="0" applyFont="1" applyFill="1" applyAlignment="1">
      <alignment horizontal="center"/>
    </xf>
    <xf numFmtId="168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0" fontId="2" fillId="0" borderId="1" xfId="0" applyFont="1" applyBorder="1"/>
    <xf numFmtId="2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L14" sqref="L14"/>
    </sheetView>
  </sheetViews>
  <sheetFormatPr defaultColWidth="9" defaultRowHeight="14.5"/>
  <cols>
    <col min="1" max="1" width="26" customWidth="1"/>
    <col min="2" max="2" width="20" customWidth="1"/>
    <col min="3" max="8" width="18" customWidth="1"/>
  </cols>
  <sheetData>
    <row r="1" spans="1:7" ht="18.5">
      <c r="A1" s="1" t="s">
        <v>0</v>
      </c>
    </row>
    <row r="3" spans="1:7">
      <c r="A3" s="2" t="s">
        <v>1</v>
      </c>
      <c r="B3" s="2" t="s">
        <v>2</v>
      </c>
    </row>
    <row r="4" spans="1:7">
      <c r="A4" s="3" t="s">
        <v>3</v>
      </c>
      <c r="B4" s="4">
        <v>0.17</v>
      </c>
    </row>
    <row r="6" spans="1:7">
      <c r="A6" s="10" t="s">
        <v>4</v>
      </c>
    </row>
    <row r="7" spans="1: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>
      <c r="A8" s="9">
        <v>0</v>
      </c>
      <c r="B8" s="3">
        <v>500</v>
      </c>
      <c r="C8" s="3">
        <v>0</v>
      </c>
      <c r="D8" s="3">
        <f t="shared" ref="D8:D13" si="0">C8-B8</f>
        <v>-500</v>
      </c>
      <c r="E8" s="3">
        <f t="shared" ref="E8:E13" si="1">1/(1+$B$4)^A8</f>
        <v>1</v>
      </c>
      <c r="F8" s="3">
        <f t="shared" ref="F8:F13" si="2">D8*E8</f>
        <v>-500</v>
      </c>
      <c r="G8" s="3">
        <f>F8</f>
        <v>-500</v>
      </c>
    </row>
    <row r="9" spans="1:7">
      <c r="A9" s="9">
        <v>1</v>
      </c>
      <c r="B9" s="3">
        <v>0</v>
      </c>
      <c r="C9" s="3">
        <v>250</v>
      </c>
      <c r="D9" s="3">
        <f t="shared" si="0"/>
        <v>250</v>
      </c>
      <c r="E9" s="3">
        <f t="shared" si="1"/>
        <v>0.854700854700855</v>
      </c>
      <c r="F9" s="3">
        <f t="shared" si="2"/>
        <v>213.675213675214</v>
      </c>
      <c r="G9" s="3">
        <f>G8+F9</f>
        <v>-286.32478632478598</v>
      </c>
    </row>
    <row r="10" spans="1:7">
      <c r="A10" s="9">
        <v>2</v>
      </c>
      <c r="B10" s="3">
        <v>100</v>
      </c>
      <c r="C10" s="3">
        <v>350</v>
      </c>
      <c r="D10" s="3">
        <f t="shared" si="0"/>
        <v>250</v>
      </c>
      <c r="E10" s="3">
        <f t="shared" si="1"/>
        <v>0.73051355102637205</v>
      </c>
      <c r="F10" s="3">
        <f t="shared" si="2"/>
        <v>182.62838775659301</v>
      </c>
      <c r="G10" s="3">
        <f>G9+F10</f>
        <v>-103.696398568193</v>
      </c>
    </row>
    <row r="11" spans="1:7">
      <c r="A11" s="9">
        <v>3</v>
      </c>
      <c r="B11" s="3">
        <v>0</v>
      </c>
      <c r="C11" s="3">
        <v>450</v>
      </c>
      <c r="D11" s="3">
        <f t="shared" si="0"/>
        <v>450</v>
      </c>
      <c r="E11" s="3">
        <f t="shared" si="1"/>
        <v>0.62437055643279604</v>
      </c>
      <c r="F11" s="3">
        <f t="shared" si="2"/>
        <v>280.96675039475798</v>
      </c>
      <c r="G11" s="3">
        <f>G10+F11</f>
        <v>177.27035182656499</v>
      </c>
    </row>
    <row r="12" spans="1:7">
      <c r="A12" s="9">
        <v>4</v>
      </c>
      <c r="B12" s="3">
        <v>0</v>
      </c>
      <c r="C12" s="3">
        <v>500</v>
      </c>
      <c r="D12" s="3">
        <f t="shared" si="0"/>
        <v>500</v>
      </c>
      <c r="E12" s="3">
        <f t="shared" si="1"/>
        <v>0.53365004823315898</v>
      </c>
      <c r="F12" s="3">
        <f t="shared" si="2"/>
        <v>266.82502411657998</v>
      </c>
      <c r="G12" s="3">
        <f>G11+F12</f>
        <v>444.09537594314497</v>
      </c>
    </row>
    <row r="13" spans="1:7">
      <c r="A13" s="9">
        <v>5</v>
      </c>
      <c r="B13" s="3">
        <v>0</v>
      </c>
      <c r="C13" s="3">
        <v>-100</v>
      </c>
      <c r="D13" s="3">
        <f t="shared" si="0"/>
        <v>-100</v>
      </c>
      <c r="E13" s="3">
        <f t="shared" si="1"/>
        <v>0.456111152336034</v>
      </c>
      <c r="F13" s="3">
        <f t="shared" si="2"/>
        <v>-45.6111152336034</v>
      </c>
      <c r="G13" s="3">
        <f>G12+F13</f>
        <v>398.48426070954099</v>
      </c>
    </row>
    <row r="15" spans="1:7">
      <c r="A15" s="10" t="s">
        <v>12</v>
      </c>
    </row>
    <row r="16" spans="1:7">
      <c r="A16" s="2" t="s">
        <v>13</v>
      </c>
      <c r="B16" s="2" t="s">
        <v>14</v>
      </c>
      <c r="C16" s="2" t="s">
        <v>15</v>
      </c>
    </row>
    <row r="17" spans="1:7" ht="29">
      <c r="A17" s="3" t="s">
        <v>16</v>
      </c>
      <c r="B17" s="3" t="s">
        <v>17</v>
      </c>
      <c r="C17" s="11">
        <f>SUMPRODUCT(C8:C13,E8:E13)</f>
        <v>971.53561581217798</v>
      </c>
    </row>
    <row r="18" spans="1:7" ht="29">
      <c r="A18" s="3" t="s">
        <v>18</v>
      </c>
      <c r="B18" s="3" t="s">
        <v>19</v>
      </c>
      <c r="C18" s="11">
        <f>SUMPRODUCT(B8:B13,E8:E13)</f>
        <v>573.05135510263699</v>
      </c>
    </row>
    <row r="19" spans="1:7">
      <c r="A19" s="3" t="s">
        <v>20</v>
      </c>
      <c r="B19" s="3" t="s">
        <v>21</v>
      </c>
      <c r="C19" s="11">
        <f>C17-C18</f>
        <v>398.48426070954099</v>
      </c>
    </row>
    <row r="20" spans="1:7" ht="29">
      <c r="A20" s="3" t="s">
        <v>22</v>
      </c>
      <c r="B20" s="3" t="s">
        <v>23</v>
      </c>
      <c r="C20" s="4">
        <f>C19/C18</f>
        <v>0.69537268721434198</v>
      </c>
    </row>
    <row r="21" spans="1:7">
      <c r="A21" s="3" t="s">
        <v>24</v>
      </c>
      <c r="B21" s="3" t="s">
        <v>25</v>
      </c>
      <c r="C21" s="4">
        <f>C17/C18</f>
        <v>1.69537268721434</v>
      </c>
    </row>
    <row r="22" spans="1:7" ht="29">
      <c r="A22" s="3" t="s">
        <v>26</v>
      </c>
      <c r="B22" s="3" t="s">
        <v>27</v>
      </c>
      <c r="C22" s="4">
        <f>IRR(D8:D13)</f>
        <v>0.49560752554623799</v>
      </c>
    </row>
    <row r="23" spans="1:7" ht="29">
      <c r="A23" s="3" t="s">
        <v>28</v>
      </c>
      <c r="B23" s="3" t="s">
        <v>29</v>
      </c>
      <c r="C23" s="11">
        <f>_xlfn.LET(_xlpm.a,MATCH(TRUE,INDEX(G8:G13&gt;=0,0),0)-1,IF(_xlpm.a&lt;=0,0,_xlpm.a+ABS(INDEX(G8:G13,_xlpm.a+1))/INDEX(D8:D13,_xlpm.a+2)))</f>
        <v>3.3545407036531301</v>
      </c>
    </row>
    <row r="24" spans="1:7" ht="29">
      <c r="A24" s="3" t="s">
        <v>30</v>
      </c>
      <c r="B24" s="3" t="s">
        <v>31</v>
      </c>
      <c r="C24" s="11">
        <f>_xlfn.LET(_xlpm.a,MATCH(TRUE,INDEX(G8:G13&gt;=0,0),0)-1,IF(_xlpm.a&lt;=0,0,_xlpm.a+ABS(INDEX(G8:G13,_xlpm.a+1))/INDEX(F8:F13,_xlpm.a+2)))</f>
        <v>3.6643692899999998</v>
      </c>
    </row>
    <row r="27" spans="1:7">
      <c r="A27" s="10" t="s">
        <v>32</v>
      </c>
    </row>
    <row r="28" spans="1:7">
      <c r="A28" s="2" t="s">
        <v>5</v>
      </c>
      <c r="B28" s="2" t="s">
        <v>6</v>
      </c>
      <c r="C28" s="2" t="s">
        <v>7</v>
      </c>
      <c r="D28" s="2" t="s">
        <v>33</v>
      </c>
      <c r="E28" s="2" t="s">
        <v>9</v>
      </c>
      <c r="F28" s="2" t="s">
        <v>10</v>
      </c>
      <c r="G28" s="2" t="s">
        <v>11</v>
      </c>
    </row>
    <row r="29" spans="1:7">
      <c r="A29" s="9">
        <v>0</v>
      </c>
      <c r="B29" s="3">
        <v>100</v>
      </c>
      <c r="C29" s="3">
        <v>0</v>
      </c>
      <c r="D29" s="3">
        <f t="shared" ref="D29:D34" si="3">C29-B29</f>
        <v>-100</v>
      </c>
      <c r="E29" s="3">
        <f t="shared" ref="E29:E34" si="4">1/(1+$B$4)^A29</f>
        <v>1</v>
      </c>
      <c r="F29" s="3">
        <f t="shared" ref="F29:F34" si="5">D29*E29</f>
        <v>-100</v>
      </c>
      <c r="G29" s="3">
        <f>F29</f>
        <v>-100</v>
      </c>
    </row>
    <row r="30" spans="1:7">
      <c r="A30" s="9">
        <v>1</v>
      </c>
      <c r="B30" s="3">
        <v>0</v>
      </c>
      <c r="C30" s="3">
        <v>-100</v>
      </c>
      <c r="D30" s="3">
        <f t="shared" si="3"/>
        <v>-100</v>
      </c>
      <c r="E30" s="3">
        <f t="shared" si="4"/>
        <v>0.854700854700855</v>
      </c>
      <c r="F30" s="3">
        <f t="shared" si="5"/>
        <v>-85.470085470085493</v>
      </c>
      <c r="G30" s="3">
        <f>G29+F30</f>
        <v>-185.470085470085</v>
      </c>
    </row>
    <row r="31" spans="1:7">
      <c r="A31" s="9">
        <v>2</v>
      </c>
      <c r="B31" s="3">
        <v>50</v>
      </c>
      <c r="C31" s="3">
        <v>200</v>
      </c>
      <c r="D31" s="3">
        <f t="shared" si="3"/>
        <v>150</v>
      </c>
      <c r="E31" s="3">
        <f t="shared" si="4"/>
        <v>0.73051355102637205</v>
      </c>
      <c r="F31" s="3">
        <f t="shared" si="5"/>
        <v>109.577032653956</v>
      </c>
      <c r="G31" s="3">
        <f>G30+F31</f>
        <v>-75.893052816129696</v>
      </c>
    </row>
    <row r="32" spans="1:7">
      <c r="A32" s="9">
        <v>3</v>
      </c>
      <c r="B32" s="3">
        <v>0</v>
      </c>
      <c r="C32" s="3">
        <v>200</v>
      </c>
      <c r="D32" s="3">
        <f t="shared" si="3"/>
        <v>200</v>
      </c>
      <c r="E32" s="3">
        <f t="shared" si="4"/>
        <v>0.62437055643279604</v>
      </c>
      <c r="F32" s="3">
        <f t="shared" si="5"/>
        <v>124.874111286559</v>
      </c>
      <c r="G32" s="3">
        <f>G31+F32</f>
        <v>48.981058470429502</v>
      </c>
    </row>
    <row r="33" spans="1:9">
      <c r="A33" s="9">
        <v>4</v>
      </c>
      <c r="B33" s="3">
        <v>0</v>
      </c>
      <c r="C33" s="3">
        <v>200</v>
      </c>
      <c r="D33" s="3">
        <f t="shared" si="3"/>
        <v>200</v>
      </c>
      <c r="E33" s="3">
        <f t="shared" si="4"/>
        <v>0.53365004823315898</v>
      </c>
      <c r="F33" s="3">
        <f t="shared" si="5"/>
        <v>106.730009646632</v>
      </c>
      <c r="G33" s="3">
        <f>G32+F33</f>
        <v>155.71106811706099</v>
      </c>
    </row>
    <row r="34" spans="1:9">
      <c r="A34" s="9">
        <v>5</v>
      </c>
      <c r="B34" s="3">
        <v>0</v>
      </c>
      <c r="C34" s="3">
        <v>300</v>
      </c>
      <c r="D34" s="3">
        <f t="shared" si="3"/>
        <v>300</v>
      </c>
      <c r="E34" s="3">
        <f t="shared" si="4"/>
        <v>0.456111152336034</v>
      </c>
      <c r="F34" s="3">
        <f t="shared" si="5"/>
        <v>136.83334570081001</v>
      </c>
      <c r="G34" s="3">
        <f>G33+F34</f>
        <v>292.54441381787097</v>
      </c>
    </row>
    <row r="36" spans="1:9">
      <c r="A36" s="10" t="s">
        <v>34</v>
      </c>
    </row>
    <row r="37" spans="1:9">
      <c r="A37" s="2" t="s">
        <v>13</v>
      </c>
      <c r="B37" s="2" t="s">
        <v>14</v>
      </c>
      <c r="C37" s="2" t="s">
        <v>15</v>
      </c>
    </row>
    <row r="38" spans="1:9" ht="29">
      <c r="A38" s="3" t="s">
        <v>16</v>
      </c>
      <c r="B38" s="3" t="s">
        <v>17</v>
      </c>
      <c r="C38" s="11">
        <f>SUMPRODUCT(C29:C34,E29:E34)</f>
        <v>429.07009136918998</v>
      </c>
    </row>
    <row r="39" spans="1:9" ht="29">
      <c r="A39" s="3" t="s">
        <v>18</v>
      </c>
      <c r="B39" s="3" t="s">
        <v>19</v>
      </c>
      <c r="C39" s="11">
        <f>SUMPRODUCT(B29:B34,E29:E34)</f>
        <v>136.52567755131901</v>
      </c>
    </row>
    <row r="40" spans="1:9">
      <c r="A40" s="3" t="s">
        <v>20</v>
      </c>
      <c r="B40" s="3" t="s">
        <v>21</v>
      </c>
      <c r="C40" s="11">
        <f>C38-C39</f>
        <v>292.54441381787097</v>
      </c>
    </row>
    <row r="41" spans="1:9" ht="29">
      <c r="A41" s="3" t="s">
        <v>22</v>
      </c>
      <c r="B41" s="3" t="s">
        <v>23</v>
      </c>
      <c r="C41" s="4">
        <f>C40/C39</f>
        <v>2.14277943215412</v>
      </c>
    </row>
    <row r="42" spans="1:9">
      <c r="A42" s="3" t="s">
        <v>24</v>
      </c>
      <c r="B42" s="3" t="s">
        <v>25</v>
      </c>
      <c r="C42" s="4">
        <f>C38/C39</f>
        <v>3.14277943215412</v>
      </c>
    </row>
    <row r="43" spans="1:9" ht="29">
      <c r="A43" s="3" t="s">
        <v>26</v>
      </c>
      <c r="B43" s="3" t="s">
        <v>27</v>
      </c>
      <c r="C43" s="4">
        <f>IRR(D29:D34)</f>
        <v>0.614198582038467</v>
      </c>
    </row>
    <row r="44" spans="1:9" ht="29">
      <c r="A44" s="3" t="s">
        <v>28</v>
      </c>
      <c r="B44" s="3" t="s">
        <v>29</v>
      </c>
      <c r="C44" s="11">
        <f>_xlfn.LET(_xlpm.a,MATCH(TRUE,INDEX(G29:G34&gt;=0,0),0)-1,IF(_xlpm.a&lt;=0,0,_xlpm.a+ABS(INDEX(G29:G34,_xlpm.a+1))/INDEX(D29:D34,_xlpm.a+2)))</f>
        <v>3.2449052923521502</v>
      </c>
    </row>
    <row r="45" spans="1:9" ht="29">
      <c r="A45" s="3" t="s">
        <v>30</v>
      </c>
      <c r="B45" s="3" t="s">
        <v>31</v>
      </c>
      <c r="C45" s="11">
        <f>_xlfn.LET(_xlpm.a,MATCH(TRUE,INDEX(G29:G34&gt;=0,0),0)-1,IF(_xlpm.a&lt;=0,0,_xlpm.a+ABS(INDEX(G29:G34,_xlpm.a+1))/INDEX(F29:F34,_xlpm.a+2)))</f>
        <v>3.458924895</v>
      </c>
    </row>
    <row r="47" spans="1:9">
      <c r="A47" s="5" t="s">
        <v>35</v>
      </c>
    </row>
    <row r="48" spans="1:9" ht="58">
      <c r="A48" s="12" t="s">
        <v>36</v>
      </c>
      <c r="B48" s="12" t="s">
        <v>37</v>
      </c>
      <c r="C48" s="12" t="s">
        <v>38</v>
      </c>
      <c r="D48" s="12" t="s">
        <v>20</v>
      </c>
      <c r="E48" s="12" t="s">
        <v>22</v>
      </c>
      <c r="F48" s="12" t="s">
        <v>24</v>
      </c>
      <c r="G48" s="12" t="s">
        <v>26</v>
      </c>
      <c r="H48" s="12" t="s">
        <v>28</v>
      </c>
      <c r="I48" s="12" t="s">
        <v>30</v>
      </c>
    </row>
    <row r="49" spans="1:9">
      <c r="A49" s="15" t="s">
        <v>39</v>
      </c>
      <c r="B49" s="16">
        <f>'Bài 1'!C17</f>
        <v>971.53561581217798</v>
      </c>
      <c r="C49" s="16">
        <f>'Bài 1'!C18</f>
        <v>573.05135510263699</v>
      </c>
      <c r="D49" s="16">
        <f>'Bài 1'!C19</f>
        <v>398.48426070954099</v>
      </c>
      <c r="E49" s="17">
        <f>'Bài 1'!C20</f>
        <v>0.69537268721434198</v>
      </c>
      <c r="F49" s="17">
        <f>'Bài 1'!C21</f>
        <v>1.69537268721434</v>
      </c>
      <c r="G49" s="17">
        <f>'Bài 1'!C22</f>
        <v>0.49560752554623799</v>
      </c>
      <c r="H49" s="16">
        <f>'Bài 1'!C23</f>
        <v>3.3545407036531301</v>
      </c>
      <c r="I49" s="16">
        <f>'Bài 1'!C24</f>
        <v>3.6643692899999998</v>
      </c>
    </row>
    <row r="50" spans="1:9">
      <c r="A50" s="15" t="s">
        <v>40</v>
      </c>
      <c r="B50" s="16">
        <f>'Bài 1'!C38</f>
        <v>429.07009136918998</v>
      </c>
      <c r="C50" s="16">
        <f>'Bài 1'!C39</f>
        <v>136.52567755131901</v>
      </c>
      <c r="D50" s="16">
        <f>'Bài 1'!C40</f>
        <v>292.54441381787097</v>
      </c>
      <c r="E50" s="17">
        <f>'Bài 1'!C41</f>
        <v>2.14277943215412</v>
      </c>
      <c r="F50" s="17">
        <f>'Bài 1'!C42</f>
        <v>3.14277943215412</v>
      </c>
      <c r="G50" s="17">
        <f>'Bài 1'!C43</f>
        <v>0.614198582038467</v>
      </c>
      <c r="H50" s="16">
        <f>'Bài 1'!C44</f>
        <v>3.2449052923521502</v>
      </c>
      <c r="I50" s="16">
        <f>'Bài 1'!C45</f>
        <v>3.458924895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opLeftCell="A44" zoomScaleNormal="100" workbookViewId="0">
      <selection activeCell="I17" sqref="I17"/>
    </sheetView>
  </sheetViews>
  <sheetFormatPr defaultColWidth="9" defaultRowHeight="14.5"/>
  <cols>
    <col min="1" max="1" width="21.1796875" customWidth="1"/>
    <col min="2" max="2" width="25.08984375" customWidth="1"/>
  </cols>
  <sheetData>
    <row r="1" spans="1:7" ht="18.5">
      <c r="A1" s="1" t="s">
        <v>41</v>
      </c>
    </row>
    <row r="3" spans="1:7">
      <c r="A3" s="2" t="s">
        <v>1</v>
      </c>
      <c r="B3" s="2" t="s">
        <v>2</v>
      </c>
    </row>
    <row r="4" spans="1:7">
      <c r="A4" s="3" t="s">
        <v>3</v>
      </c>
      <c r="B4" s="4">
        <v>0.18</v>
      </c>
    </row>
    <row r="6" spans="1:7" ht="23.5" customHeight="1">
      <c r="A6" s="10" t="s">
        <v>42</v>
      </c>
    </row>
    <row r="7" spans="1:7" ht="29">
      <c r="A7" s="2" t="s">
        <v>5</v>
      </c>
      <c r="B7" s="2" t="s">
        <v>43</v>
      </c>
      <c r="C7" s="2" t="s">
        <v>44</v>
      </c>
      <c r="D7" s="2" t="s">
        <v>45</v>
      </c>
      <c r="E7" s="2" t="s">
        <v>9</v>
      </c>
      <c r="F7" s="2" t="s">
        <v>10</v>
      </c>
      <c r="G7" s="2" t="s">
        <v>11</v>
      </c>
    </row>
    <row r="8" spans="1:7">
      <c r="A8" s="9">
        <v>0</v>
      </c>
      <c r="B8" s="3">
        <v>0</v>
      </c>
      <c r="C8" s="3">
        <v>225</v>
      </c>
      <c r="D8" s="3">
        <f t="shared" ref="D8:D15" si="0">B8-C8</f>
        <v>-225</v>
      </c>
      <c r="E8" s="3">
        <f t="shared" ref="E8:E15" si="1">1/(1+$B$4)^A8</f>
        <v>1</v>
      </c>
      <c r="F8" s="3">
        <f t="shared" ref="F8:F15" si="2">D8*E8</f>
        <v>-225</v>
      </c>
      <c r="G8" s="3">
        <f>F8</f>
        <v>-225</v>
      </c>
    </row>
    <row r="9" spans="1:7">
      <c r="A9" s="9">
        <v>1</v>
      </c>
      <c r="B9" s="3">
        <v>0</v>
      </c>
      <c r="C9" s="3">
        <v>190</v>
      </c>
      <c r="D9" s="3">
        <f t="shared" si="0"/>
        <v>-190</v>
      </c>
      <c r="E9" s="3">
        <f t="shared" si="1"/>
        <v>0.84745762711864403</v>
      </c>
      <c r="F9" s="3">
        <f t="shared" si="2"/>
        <v>-161.016949152542</v>
      </c>
      <c r="G9" s="3">
        <f t="shared" ref="G9:G15" si="3">G8+F9</f>
        <v>-386.016949152542</v>
      </c>
    </row>
    <row r="10" spans="1:7">
      <c r="A10" s="9">
        <v>2</v>
      </c>
      <c r="B10" s="3">
        <v>150</v>
      </c>
      <c r="C10" s="3">
        <v>0</v>
      </c>
      <c r="D10" s="3">
        <f t="shared" si="0"/>
        <v>150</v>
      </c>
      <c r="E10" s="3">
        <f t="shared" si="1"/>
        <v>0.71818442976156305</v>
      </c>
      <c r="F10" s="3">
        <f t="shared" si="2"/>
        <v>107.727664464234</v>
      </c>
      <c r="G10" s="3">
        <f t="shared" si="3"/>
        <v>-278.28928468830799</v>
      </c>
    </row>
    <row r="11" spans="1:7">
      <c r="A11" s="9">
        <v>3</v>
      </c>
      <c r="B11" s="3">
        <v>220</v>
      </c>
      <c r="C11" s="3">
        <v>30</v>
      </c>
      <c r="D11" s="3">
        <f t="shared" si="0"/>
        <v>190</v>
      </c>
      <c r="E11" s="3">
        <f t="shared" si="1"/>
        <v>0.60863087267929095</v>
      </c>
      <c r="F11" s="3">
        <f t="shared" si="2"/>
        <v>115.639865809065</v>
      </c>
      <c r="G11" s="3">
        <f t="shared" si="3"/>
        <v>-162.649418879243</v>
      </c>
    </row>
    <row r="12" spans="1:7">
      <c r="A12" s="9">
        <v>4</v>
      </c>
      <c r="B12" s="3">
        <v>215</v>
      </c>
      <c r="C12" s="3">
        <v>0</v>
      </c>
      <c r="D12" s="3">
        <f t="shared" si="0"/>
        <v>215</v>
      </c>
      <c r="E12" s="3">
        <f t="shared" si="1"/>
        <v>0.51578887515194105</v>
      </c>
      <c r="F12" s="3">
        <f t="shared" si="2"/>
        <v>110.89460815766699</v>
      </c>
      <c r="G12" s="3">
        <f t="shared" si="3"/>
        <v>-51.754810721575403</v>
      </c>
    </row>
    <row r="13" spans="1:7">
      <c r="A13" s="9">
        <v>5</v>
      </c>
      <c r="B13" s="3">
        <v>205</v>
      </c>
      <c r="C13" s="3">
        <v>30</v>
      </c>
      <c r="D13" s="3">
        <f t="shared" si="0"/>
        <v>175</v>
      </c>
      <c r="E13" s="3">
        <f t="shared" si="1"/>
        <v>0.43710921623045901</v>
      </c>
      <c r="F13" s="3">
        <f t="shared" si="2"/>
        <v>76.494112840330303</v>
      </c>
      <c r="G13" s="3">
        <f t="shared" si="3"/>
        <v>24.7393021187548</v>
      </c>
    </row>
    <row r="14" spans="1:7">
      <c r="A14" s="9">
        <v>6</v>
      </c>
      <c r="B14" s="3">
        <v>197</v>
      </c>
      <c r="C14" s="3">
        <v>0</v>
      </c>
      <c r="D14" s="3">
        <f t="shared" si="0"/>
        <v>197</v>
      </c>
      <c r="E14" s="3">
        <f t="shared" si="1"/>
        <v>0.37043153917835497</v>
      </c>
      <c r="F14" s="3">
        <f t="shared" si="2"/>
        <v>72.975013218135899</v>
      </c>
      <c r="G14" s="3">
        <f t="shared" si="3"/>
        <v>97.714315336890706</v>
      </c>
    </row>
    <row r="15" spans="1:7">
      <c r="A15" s="9">
        <v>7</v>
      </c>
      <c r="B15" s="3">
        <v>100</v>
      </c>
      <c r="C15" s="3">
        <v>30</v>
      </c>
      <c r="D15" s="3">
        <f t="shared" si="0"/>
        <v>70</v>
      </c>
      <c r="E15" s="3">
        <f t="shared" si="1"/>
        <v>0.313925033201996</v>
      </c>
      <c r="F15" s="3">
        <f t="shared" si="2"/>
        <v>21.9747523241397</v>
      </c>
      <c r="G15" s="3">
        <f t="shared" si="3"/>
        <v>119.68906766102999</v>
      </c>
    </row>
    <row r="17" spans="1:7">
      <c r="A17" s="10" t="s">
        <v>46</v>
      </c>
    </row>
    <row r="18" spans="1:7">
      <c r="A18" s="2" t="s">
        <v>13</v>
      </c>
      <c r="B18" s="2" t="s">
        <v>14</v>
      </c>
      <c r="C18" s="2" t="s">
        <v>15</v>
      </c>
    </row>
    <row r="19" spans="1:7" ht="22.5" customHeight="1">
      <c r="A19" s="3" t="s">
        <v>47</v>
      </c>
      <c r="B19" s="3" t="s">
        <v>48</v>
      </c>
      <c r="C19" s="11">
        <f>SUMPRODUCT(B8:B15,E8:E15)</f>
        <v>546.49597047692498</v>
      </c>
    </row>
    <row r="20" spans="1:7" ht="22" customHeight="1">
      <c r="A20" s="3" t="s">
        <v>49</v>
      </c>
      <c r="B20" s="3" t="s">
        <v>50</v>
      </c>
      <c r="C20" s="11">
        <f>SUMPRODUCT(C8:C15,E8:E15)</f>
        <v>426.806902815895</v>
      </c>
    </row>
    <row r="21" spans="1:7" ht="26.5" customHeight="1">
      <c r="A21" s="3" t="s">
        <v>20</v>
      </c>
      <c r="B21" s="3" t="s">
        <v>21</v>
      </c>
      <c r="C21" s="11">
        <f>C19-C20</f>
        <v>119.68906766102999</v>
      </c>
    </row>
    <row r="22" spans="1:7" ht="44" customHeight="1">
      <c r="A22" s="3" t="s">
        <v>51</v>
      </c>
      <c r="B22" s="3" t="s">
        <v>52</v>
      </c>
      <c r="C22" s="4">
        <f>C21/C20</f>
        <v>0.28042908132781302</v>
      </c>
    </row>
    <row r="23" spans="1:7" ht="24" customHeight="1">
      <c r="A23" s="3" t="s">
        <v>24</v>
      </c>
      <c r="B23" s="3" t="s">
        <v>25</v>
      </c>
      <c r="C23" s="4">
        <f>C19/C20</f>
        <v>1.2804290813278101</v>
      </c>
    </row>
    <row r="24" spans="1:7" ht="24" customHeight="1">
      <c r="A24" s="3" t="s">
        <v>26</v>
      </c>
      <c r="B24" s="3" t="s">
        <v>53</v>
      </c>
      <c r="C24" s="4">
        <f>IRR(D8:D15)</f>
        <v>0.27688388884682502</v>
      </c>
    </row>
    <row r="25" spans="1:7" ht="27" customHeight="1">
      <c r="A25" s="3" t="s">
        <v>28</v>
      </c>
      <c r="B25" s="3" t="s">
        <v>54</v>
      </c>
      <c r="C25" s="11">
        <f>_xlfn.LET(_xlpm.a,MATCH(TRUE,INDEX(G8:G15&gt;=0,0),0)-1,IF(_xlpm.a&lt;=0,0,_xlpm.a+ABS(INDEX(G8:G15,_xlpm.a+1))/INDEX(D8:D15,_xlpm.a+2)))</f>
        <v>5.1255802138007898</v>
      </c>
    </row>
    <row r="26" spans="1:7" ht="28.5" customHeight="1">
      <c r="A26" s="3" t="s">
        <v>30</v>
      </c>
      <c r="B26" s="3" t="s">
        <v>55</v>
      </c>
      <c r="C26" s="11">
        <f>_xlfn.LET(_xlpm.a,MATCH(TRUE,INDEX(G8:G15&gt;=0,0),0)-1,IF(_xlpm.a&lt;=0,0,_xlpm.a+ABS(INDEX(G8:G15,_xlpm.a+1))/INDEX(F8:F15,_xlpm.a+2)))</f>
        <v>5.3390105877035499</v>
      </c>
    </row>
    <row r="29" spans="1:7" ht="29">
      <c r="A29" s="10" t="s">
        <v>56</v>
      </c>
    </row>
    <row r="30" spans="1:7" ht="29">
      <c r="A30" s="2" t="s">
        <v>5</v>
      </c>
      <c r="B30" s="2" t="s">
        <v>43</v>
      </c>
      <c r="C30" s="2" t="s">
        <v>44</v>
      </c>
      <c r="D30" s="2" t="s">
        <v>45</v>
      </c>
      <c r="E30" s="2" t="s">
        <v>9</v>
      </c>
      <c r="F30" s="2" t="s">
        <v>10</v>
      </c>
      <c r="G30" s="2" t="s">
        <v>11</v>
      </c>
    </row>
    <row r="31" spans="1:7">
      <c r="A31" s="9">
        <v>0</v>
      </c>
      <c r="B31" s="3">
        <v>0</v>
      </c>
      <c r="C31" s="3">
        <v>300</v>
      </c>
      <c r="D31" s="3">
        <f t="shared" ref="D31:D38" si="4">B31-C31</f>
        <v>-300</v>
      </c>
      <c r="E31" s="3">
        <f t="shared" ref="E31:E38" si="5">1/(1+$B$4)^A31</f>
        <v>1</v>
      </c>
      <c r="F31" s="3">
        <f t="shared" ref="F31:F38" si="6">D31*E31</f>
        <v>-300</v>
      </c>
      <c r="G31" s="3">
        <f>F31</f>
        <v>-300</v>
      </c>
    </row>
    <row r="32" spans="1:7">
      <c r="A32" s="9">
        <v>1</v>
      </c>
      <c r="B32" s="3">
        <v>50</v>
      </c>
      <c r="C32" s="3">
        <v>100</v>
      </c>
      <c r="D32" s="3">
        <f t="shared" si="4"/>
        <v>-50</v>
      </c>
      <c r="E32" s="3">
        <f t="shared" si="5"/>
        <v>0.84745762711864403</v>
      </c>
      <c r="F32" s="3">
        <f t="shared" si="6"/>
        <v>-42.372881355932201</v>
      </c>
      <c r="G32" s="3">
        <f t="shared" ref="G32:G38" si="7">G31+F32</f>
        <v>-342.37288135593201</v>
      </c>
    </row>
    <row r="33" spans="1:7">
      <c r="A33" s="9">
        <v>2</v>
      </c>
      <c r="B33" s="3">
        <v>150</v>
      </c>
      <c r="C33" s="3">
        <v>0</v>
      </c>
      <c r="D33" s="3">
        <f t="shared" si="4"/>
        <v>150</v>
      </c>
      <c r="E33" s="3">
        <f t="shared" si="5"/>
        <v>0.71818442976156305</v>
      </c>
      <c r="F33" s="3">
        <f t="shared" si="6"/>
        <v>107.727664464234</v>
      </c>
      <c r="G33" s="3">
        <f t="shared" si="7"/>
        <v>-234.645216891698</v>
      </c>
    </row>
    <row r="34" spans="1:7">
      <c r="A34" s="9">
        <v>3</v>
      </c>
      <c r="B34" s="3">
        <v>250</v>
      </c>
      <c r="C34" s="3">
        <v>0</v>
      </c>
      <c r="D34" s="3">
        <f t="shared" si="4"/>
        <v>250</v>
      </c>
      <c r="E34" s="3">
        <f t="shared" si="5"/>
        <v>0.60863087267929095</v>
      </c>
      <c r="F34" s="3">
        <f t="shared" si="6"/>
        <v>152.157718169823</v>
      </c>
      <c r="G34" s="3">
        <f t="shared" si="7"/>
        <v>-82.487498721875198</v>
      </c>
    </row>
    <row r="35" spans="1:7">
      <c r="A35" s="9">
        <v>4</v>
      </c>
      <c r="B35" s="3">
        <v>250</v>
      </c>
      <c r="C35" s="3">
        <v>50</v>
      </c>
      <c r="D35" s="3">
        <f t="shared" si="4"/>
        <v>200</v>
      </c>
      <c r="E35" s="3">
        <f t="shared" si="5"/>
        <v>0.51578887515194105</v>
      </c>
      <c r="F35" s="3">
        <f t="shared" si="6"/>
        <v>103.157775030388</v>
      </c>
      <c r="G35" s="3">
        <f t="shared" si="7"/>
        <v>20.670276308512999</v>
      </c>
    </row>
    <row r="36" spans="1:7">
      <c r="A36" s="9">
        <v>5</v>
      </c>
      <c r="B36" s="3">
        <v>200</v>
      </c>
      <c r="C36" s="3">
        <v>0</v>
      </c>
      <c r="D36" s="3">
        <f t="shared" si="4"/>
        <v>200</v>
      </c>
      <c r="E36" s="3">
        <f t="shared" si="5"/>
        <v>0.43710921623045901</v>
      </c>
      <c r="F36" s="3">
        <f t="shared" si="6"/>
        <v>87.421843246091697</v>
      </c>
      <c r="G36" s="3">
        <f t="shared" si="7"/>
        <v>108.09211955460501</v>
      </c>
    </row>
    <row r="37" spans="1:7">
      <c r="A37" s="9">
        <v>6</v>
      </c>
      <c r="B37" s="3">
        <v>180</v>
      </c>
      <c r="C37" s="3">
        <v>0</v>
      </c>
      <c r="D37" s="3">
        <f t="shared" si="4"/>
        <v>180</v>
      </c>
      <c r="E37" s="3">
        <f t="shared" si="5"/>
        <v>0.37043153917835497</v>
      </c>
      <c r="F37" s="3">
        <f t="shared" si="6"/>
        <v>66.677677052103903</v>
      </c>
      <c r="G37" s="3">
        <f t="shared" si="7"/>
        <v>174.76979660670901</v>
      </c>
    </row>
    <row r="38" spans="1:7">
      <c r="A38" s="9">
        <v>7</v>
      </c>
      <c r="B38" s="3">
        <v>120</v>
      </c>
      <c r="C38" s="3">
        <v>50</v>
      </c>
      <c r="D38" s="3">
        <f t="shared" si="4"/>
        <v>70</v>
      </c>
      <c r="E38" s="3">
        <f t="shared" si="5"/>
        <v>0.313925033201996</v>
      </c>
      <c r="F38" s="3">
        <f t="shared" si="6"/>
        <v>21.9747523241397</v>
      </c>
      <c r="G38" s="3">
        <f t="shared" si="7"/>
        <v>196.744548930848</v>
      </c>
    </row>
    <row r="40" spans="1:7">
      <c r="A40" s="10" t="s">
        <v>57</v>
      </c>
    </row>
    <row r="41" spans="1:7">
      <c r="A41" s="2" t="s">
        <v>13</v>
      </c>
      <c r="B41" s="2" t="s">
        <v>14</v>
      </c>
      <c r="C41" s="2" t="s">
        <v>15</v>
      </c>
    </row>
    <row r="42" spans="1:7">
      <c r="A42" s="3" t="s">
        <v>47</v>
      </c>
      <c r="B42" s="3" t="s">
        <v>48</v>
      </c>
      <c r="C42" s="11">
        <f>SUMPRODUCT(B31:B38,E31:E38)</f>
        <v>622.97600706040998</v>
      </c>
    </row>
    <row r="43" spans="1:7">
      <c r="A43" s="3" t="s">
        <v>49</v>
      </c>
      <c r="B43" s="3" t="s">
        <v>50</v>
      </c>
      <c r="C43" s="11">
        <f>SUMPRODUCT(C31:C38,E31:E38)</f>
        <v>426.23145812956102</v>
      </c>
    </row>
    <row r="44" spans="1:7">
      <c r="A44" s="3" t="s">
        <v>20</v>
      </c>
      <c r="B44" s="3" t="s">
        <v>21</v>
      </c>
      <c r="C44" s="11">
        <f>C42-C43</f>
        <v>196.744548930848</v>
      </c>
    </row>
    <row r="45" spans="1:7" ht="29">
      <c r="A45" s="3" t="s">
        <v>51</v>
      </c>
      <c r="B45" s="3" t="s">
        <v>52</v>
      </c>
      <c r="C45" s="4">
        <f>C44/C43</f>
        <v>0.46159086847842201</v>
      </c>
    </row>
    <row r="46" spans="1:7">
      <c r="A46" s="3" t="s">
        <v>24</v>
      </c>
      <c r="B46" s="3" t="s">
        <v>25</v>
      </c>
      <c r="C46" s="4">
        <f>C42/C43</f>
        <v>1.46159086847842</v>
      </c>
    </row>
    <row r="47" spans="1:7">
      <c r="A47" s="3" t="s">
        <v>26</v>
      </c>
      <c r="B47" s="3" t="s">
        <v>53</v>
      </c>
      <c r="C47" s="4">
        <f>IRR(D31:D38)</f>
        <v>0.33836250534999301</v>
      </c>
    </row>
    <row r="48" spans="1:7">
      <c r="A48" s="3" t="s">
        <v>28</v>
      </c>
      <c r="B48" s="3" t="s">
        <v>54</v>
      </c>
      <c r="C48" s="11">
        <f>_xlfn.LET(_xlpm.a,MATCH(TRUE,INDEX(G31:G38&gt;=0,0),0)-1,IF(_xlpm.a&lt;=0,0,_xlpm.a+ABS(INDEX(G31:G38,_xlpm.a+1))/INDEX(D31:D38,_xlpm.a+2)))</f>
        <v>4.10335138154257</v>
      </c>
    </row>
    <row r="49" spans="1:9" ht="29">
      <c r="A49" s="3" t="s">
        <v>30</v>
      </c>
      <c r="B49" s="3" t="s">
        <v>55</v>
      </c>
      <c r="C49" s="11">
        <f>_xlfn.LET(_xlpm.a,MATCH(TRUE,INDEX(G31:G38&gt;=0,0),0)-1,IF(_xlpm.a&lt;=0,0,_xlpm.a+ABS(INDEX(G31:G38,_xlpm.a+1))/INDEX(F31:F38,_xlpm.a+2)))</f>
        <v>4.2364429248000004</v>
      </c>
    </row>
    <row r="51" spans="1:9">
      <c r="A51" s="5" t="s">
        <v>35</v>
      </c>
    </row>
    <row r="52" spans="1:9" ht="58">
      <c r="A52" s="12" t="s">
        <v>36</v>
      </c>
      <c r="B52" s="12" t="s">
        <v>58</v>
      </c>
      <c r="C52" s="12" t="s">
        <v>59</v>
      </c>
      <c r="D52" s="12" t="s">
        <v>20</v>
      </c>
      <c r="E52" s="12" t="s">
        <v>51</v>
      </c>
      <c r="F52" s="12" t="s">
        <v>24</v>
      </c>
      <c r="G52" s="12" t="s">
        <v>26</v>
      </c>
      <c r="H52" s="12" t="s">
        <v>28</v>
      </c>
      <c r="I52" s="12" t="s">
        <v>30</v>
      </c>
    </row>
    <row r="53" spans="1:9">
      <c r="A53" s="5" t="s">
        <v>60</v>
      </c>
      <c r="B53" s="13">
        <f>'Bài 2'!C19</f>
        <v>546.49597047692498</v>
      </c>
      <c r="C53" s="13">
        <f>'Bài 2'!C20</f>
        <v>426.806902815895</v>
      </c>
      <c r="D53" s="13">
        <f>'Bài 2'!C21</f>
        <v>119.68906766102999</v>
      </c>
      <c r="E53" s="14">
        <f>'Bài 2'!C22</f>
        <v>0.28042908132781302</v>
      </c>
      <c r="F53" s="14">
        <f>'Bài 2'!C23</f>
        <v>1.2804290813278101</v>
      </c>
      <c r="G53" s="14">
        <f>'Bài 2'!C24</f>
        <v>0.27688388884682502</v>
      </c>
      <c r="H53" s="13">
        <f>'Bài 2'!C25</f>
        <v>5.1255802138007898</v>
      </c>
      <c r="I53" s="13">
        <f>'Bài 2'!C26</f>
        <v>5.3390105877035499</v>
      </c>
    </row>
    <row r="54" spans="1:9">
      <c r="A54" s="5" t="s">
        <v>61</v>
      </c>
      <c r="B54" s="13">
        <f>'Bài 2'!C42</f>
        <v>622.97600706040998</v>
      </c>
      <c r="C54" s="13">
        <f>'Bài 2'!C43</f>
        <v>426.23145812956102</v>
      </c>
      <c r="D54" s="13">
        <f>'Bài 2'!C44</f>
        <v>196.744548930848</v>
      </c>
      <c r="E54" s="14">
        <f>'Bài 2'!C45</f>
        <v>0.46159086847842201</v>
      </c>
      <c r="F54" s="14">
        <f>'Bài 2'!C46</f>
        <v>1.46159086847842</v>
      </c>
      <c r="G54" s="14">
        <f>'Bài 2'!C47</f>
        <v>0.33836250534999301</v>
      </c>
      <c r="H54" s="13">
        <f>'Bài 2'!C48</f>
        <v>4.10335138154257</v>
      </c>
      <c r="I54" s="13">
        <f>'Bài 2'!C49</f>
        <v>4.2364429248000004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J10" sqref="J10"/>
    </sheetView>
  </sheetViews>
  <sheetFormatPr defaultColWidth="9" defaultRowHeight="14.5"/>
  <cols>
    <col min="1" max="1" width="11.36328125" customWidth="1"/>
    <col min="2" max="2" width="18.1796875" customWidth="1"/>
  </cols>
  <sheetData>
    <row r="1" spans="1:3" ht="18.5">
      <c r="A1" s="1" t="s">
        <v>62</v>
      </c>
    </row>
    <row r="3" spans="1:3" ht="58">
      <c r="A3" s="2" t="s">
        <v>36</v>
      </c>
      <c r="B3" s="2" t="s">
        <v>63</v>
      </c>
      <c r="C3" s="2" t="s">
        <v>64</v>
      </c>
    </row>
    <row r="4" spans="1:3">
      <c r="A4" s="3" t="s">
        <v>65</v>
      </c>
      <c r="B4" s="3">
        <v>150000</v>
      </c>
      <c r="C4" s="3">
        <v>40000</v>
      </c>
    </row>
    <row r="5" spans="1:3">
      <c r="A5" s="3" t="s">
        <v>66</v>
      </c>
      <c r="B5" s="3">
        <v>200000</v>
      </c>
      <c r="C5" s="3">
        <v>50000</v>
      </c>
    </row>
    <row r="7" spans="1:3" ht="29">
      <c r="A7" s="10" t="s">
        <v>67</v>
      </c>
    </row>
    <row r="8" spans="1:3">
      <c r="A8" s="2" t="s">
        <v>13</v>
      </c>
      <c r="B8" s="2" t="s">
        <v>14</v>
      </c>
      <c r="C8" s="2" t="s">
        <v>15</v>
      </c>
    </row>
    <row r="9" spans="1:3" ht="33" customHeight="1">
      <c r="A9" s="3" t="s">
        <v>68</v>
      </c>
      <c r="B9" s="3" t="s">
        <v>69</v>
      </c>
      <c r="C9" s="11">
        <f>B4/C4</f>
        <v>3.75</v>
      </c>
    </row>
    <row r="10" spans="1:3" ht="29">
      <c r="A10" s="3" t="s">
        <v>70</v>
      </c>
      <c r="B10" s="3" t="s">
        <v>69</v>
      </c>
      <c r="C10" s="11">
        <f>B5/C5</f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="70" zoomScaleNormal="70" workbookViewId="0">
      <selection activeCell="A24" sqref="A24"/>
    </sheetView>
  </sheetViews>
  <sheetFormatPr defaultColWidth="9" defaultRowHeight="14.5"/>
  <cols>
    <col min="1" max="2" width="12.54296875" customWidth="1"/>
  </cols>
  <sheetData>
    <row r="1" spans="1:6" ht="18.5">
      <c r="A1" s="1" t="s">
        <v>71</v>
      </c>
    </row>
    <row r="3" spans="1:6">
      <c r="A3" s="2" t="s">
        <v>1</v>
      </c>
      <c r="B3" s="2" t="s">
        <v>2</v>
      </c>
    </row>
    <row r="4" spans="1:6">
      <c r="A4" s="3" t="s">
        <v>72</v>
      </c>
      <c r="B4" s="4">
        <v>0.1</v>
      </c>
    </row>
    <row r="6" spans="1:6" ht="29">
      <c r="A6" s="2" t="s">
        <v>5</v>
      </c>
      <c r="B6" s="2" t="s">
        <v>73</v>
      </c>
      <c r="C6" s="2" t="s">
        <v>9</v>
      </c>
      <c r="D6" s="2" t="s">
        <v>10</v>
      </c>
      <c r="E6" s="2" t="s">
        <v>11</v>
      </c>
      <c r="F6" s="2" t="s">
        <v>74</v>
      </c>
    </row>
    <row r="7" spans="1:6">
      <c r="A7" s="9">
        <v>1</v>
      </c>
      <c r="B7" s="3">
        <v>1000</v>
      </c>
      <c r="C7" s="3">
        <f t="shared" ref="C7:C21" si="0">1/(1+$B$4)^A7</f>
        <v>0.90909090909090895</v>
      </c>
      <c r="D7" s="3">
        <f t="shared" ref="D7:D21" si="1">B7*C7</f>
        <v>909.09090909090901</v>
      </c>
      <c r="E7" s="3">
        <f>-5000+D7</f>
        <v>-4090.9090909090901</v>
      </c>
      <c r="F7" s="3" t="str">
        <f t="shared" ref="F7:F20" si="2">IF(AND(E7&lt;0,E8&gt;=0),"cross","")</f>
        <v/>
      </c>
    </row>
    <row r="8" spans="1:6">
      <c r="A8" s="9">
        <v>2</v>
      </c>
      <c r="B8" s="3">
        <v>1000</v>
      </c>
      <c r="C8" s="3">
        <f t="shared" si="0"/>
        <v>0.82644628099173501</v>
      </c>
      <c r="D8" s="3">
        <f t="shared" si="1"/>
        <v>826.44628099173497</v>
      </c>
      <c r="E8" s="3">
        <f t="shared" ref="E8:E21" si="3">E7+D8</f>
        <v>-3264.4628099173601</v>
      </c>
      <c r="F8" s="3" t="str">
        <f t="shared" si="2"/>
        <v/>
      </c>
    </row>
    <row r="9" spans="1:6">
      <c r="A9" s="9">
        <v>3</v>
      </c>
      <c r="B9" s="3">
        <v>1000</v>
      </c>
      <c r="C9" s="3">
        <f t="shared" si="0"/>
        <v>0.75131480090157798</v>
      </c>
      <c r="D9" s="3">
        <f t="shared" si="1"/>
        <v>751.314800901578</v>
      </c>
      <c r="E9" s="3">
        <f t="shared" si="3"/>
        <v>-2513.1480090157802</v>
      </c>
      <c r="F9" s="3" t="str">
        <f t="shared" si="2"/>
        <v/>
      </c>
    </row>
    <row r="10" spans="1:6">
      <c r="A10" s="9">
        <v>4</v>
      </c>
      <c r="B10" s="3">
        <v>1000</v>
      </c>
      <c r="C10" s="3">
        <f t="shared" si="0"/>
        <v>0.68301345536507097</v>
      </c>
      <c r="D10" s="3">
        <f t="shared" si="1"/>
        <v>683.01345536507097</v>
      </c>
      <c r="E10" s="3">
        <f t="shared" si="3"/>
        <v>-1830.1345536507099</v>
      </c>
      <c r="F10" s="3" t="str">
        <f t="shared" si="2"/>
        <v/>
      </c>
    </row>
    <row r="11" spans="1:6">
      <c r="A11" s="9">
        <v>5</v>
      </c>
      <c r="B11" s="3">
        <v>1000</v>
      </c>
      <c r="C11" s="3">
        <f t="shared" si="0"/>
        <v>0.62092132305915504</v>
      </c>
      <c r="D11" s="3">
        <f t="shared" si="1"/>
        <v>620.92132305915504</v>
      </c>
      <c r="E11" s="3">
        <f t="shared" si="3"/>
        <v>-1209.21323059155</v>
      </c>
      <c r="F11" s="3" t="str">
        <f t="shared" si="2"/>
        <v/>
      </c>
    </row>
    <row r="12" spans="1:6">
      <c r="A12" s="9">
        <v>6</v>
      </c>
      <c r="B12" s="3">
        <v>1000</v>
      </c>
      <c r="C12" s="3">
        <f t="shared" si="0"/>
        <v>0.564473930053777</v>
      </c>
      <c r="D12" s="3">
        <f t="shared" si="1"/>
        <v>564.47393005377705</v>
      </c>
      <c r="E12" s="3">
        <f t="shared" si="3"/>
        <v>-644.73930053777497</v>
      </c>
      <c r="F12" s="3" t="str">
        <f t="shared" si="2"/>
        <v/>
      </c>
    </row>
    <row r="13" spans="1:6">
      <c r="A13" s="9">
        <v>7</v>
      </c>
      <c r="B13" s="3">
        <v>1000</v>
      </c>
      <c r="C13" s="3">
        <f t="shared" si="0"/>
        <v>0.51315811823070601</v>
      </c>
      <c r="D13" s="3">
        <f t="shared" si="1"/>
        <v>513.15811823070601</v>
      </c>
      <c r="E13" s="3">
        <f t="shared" si="3"/>
        <v>-131.58118230706901</v>
      </c>
      <c r="F13" s="3" t="str">
        <f t="shared" si="2"/>
        <v>cross</v>
      </c>
    </row>
    <row r="14" spans="1:6">
      <c r="A14" s="9">
        <v>8</v>
      </c>
      <c r="B14" s="3">
        <v>1000</v>
      </c>
      <c r="C14" s="3">
        <f t="shared" si="0"/>
        <v>0.46650738020973298</v>
      </c>
      <c r="D14" s="3">
        <f t="shared" si="1"/>
        <v>466.50738020973301</v>
      </c>
      <c r="E14" s="3">
        <f t="shared" si="3"/>
        <v>334.926197902664</v>
      </c>
      <c r="F14" s="3" t="str">
        <f t="shared" si="2"/>
        <v/>
      </c>
    </row>
    <row r="15" spans="1:6">
      <c r="A15" s="9">
        <v>9</v>
      </c>
      <c r="B15" s="3">
        <v>1000</v>
      </c>
      <c r="C15" s="3">
        <f t="shared" si="0"/>
        <v>0.424097618372485</v>
      </c>
      <c r="D15" s="3">
        <f t="shared" si="1"/>
        <v>424.09761837248499</v>
      </c>
      <c r="E15" s="3">
        <f t="shared" si="3"/>
        <v>759.02381627514899</v>
      </c>
      <c r="F15" s="3" t="str">
        <f t="shared" si="2"/>
        <v/>
      </c>
    </row>
    <row r="16" spans="1:6">
      <c r="A16" s="9">
        <v>10</v>
      </c>
      <c r="B16" s="3">
        <v>1000</v>
      </c>
      <c r="C16" s="3">
        <f t="shared" si="0"/>
        <v>0.38554328942953098</v>
      </c>
      <c r="D16" s="3">
        <f t="shared" si="1"/>
        <v>385.543289429531</v>
      </c>
      <c r="E16" s="3">
        <f t="shared" si="3"/>
        <v>1144.56710570468</v>
      </c>
      <c r="F16" s="3" t="str">
        <f t="shared" si="2"/>
        <v/>
      </c>
    </row>
    <row r="17" spans="1:6">
      <c r="A17" s="9">
        <v>11</v>
      </c>
      <c r="B17" s="3">
        <v>1000</v>
      </c>
      <c r="C17" s="3">
        <f t="shared" si="0"/>
        <v>0.35049389948139198</v>
      </c>
      <c r="D17" s="3">
        <f t="shared" si="1"/>
        <v>350.49389948139202</v>
      </c>
      <c r="E17" s="3">
        <f t="shared" si="3"/>
        <v>1495.0610051860699</v>
      </c>
      <c r="F17" s="3" t="str">
        <f t="shared" si="2"/>
        <v/>
      </c>
    </row>
    <row r="18" spans="1:6">
      <c r="A18" s="9">
        <v>12</v>
      </c>
      <c r="B18" s="3">
        <v>1000</v>
      </c>
      <c r="C18" s="3">
        <f t="shared" si="0"/>
        <v>0.31863081771035701</v>
      </c>
      <c r="D18" s="3">
        <f t="shared" si="1"/>
        <v>318.63081771035598</v>
      </c>
      <c r="E18" s="3">
        <f t="shared" si="3"/>
        <v>1813.69182289643</v>
      </c>
      <c r="F18" s="3" t="str">
        <f t="shared" si="2"/>
        <v/>
      </c>
    </row>
    <row r="19" spans="1:6">
      <c r="A19" s="9">
        <v>13</v>
      </c>
      <c r="B19" s="3">
        <v>1000</v>
      </c>
      <c r="C19" s="3">
        <f t="shared" si="0"/>
        <v>0.28966437973668802</v>
      </c>
      <c r="D19" s="3">
        <f t="shared" si="1"/>
        <v>289.66437973668798</v>
      </c>
      <c r="E19" s="3">
        <f t="shared" si="3"/>
        <v>2103.3562026331201</v>
      </c>
      <c r="F19" s="3" t="str">
        <f t="shared" si="2"/>
        <v/>
      </c>
    </row>
    <row r="20" spans="1:6">
      <c r="A20" s="9">
        <v>14</v>
      </c>
      <c r="B20" s="3">
        <v>1000</v>
      </c>
      <c r="C20" s="3">
        <f t="shared" si="0"/>
        <v>0.26333125430608001</v>
      </c>
      <c r="D20" s="3">
        <f t="shared" si="1"/>
        <v>263.33125430607998</v>
      </c>
      <c r="E20" s="3">
        <f t="shared" si="3"/>
        <v>2366.6874569391998</v>
      </c>
      <c r="F20" s="3" t="str">
        <f t="shared" si="2"/>
        <v/>
      </c>
    </row>
    <row r="21" spans="1:6">
      <c r="A21" s="9">
        <v>15</v>
      </c>
      <c r="B21" s="3">
        <v>1000</v>
      </c>
      <c r="C21" s="3">
        <f t="shared" si="0"/>
        <v>0.239392049369163</v>
      </c>
      <c r="D21" s="3">
        <f t="shared" si="1"/>
        <v>239.392049369163</v>
      </c>
      <c r="E21" s="3">
        <f t="shared" si="3"/>
        <v>2606.0795063083601</v>
      </c>
      <c r="F21" s="3" t="s">
        <v>75</v>
      </c>
    </row>
    <row r="23" spans="1:6">
      <c r="A23" s="6" t="s">
        <v>76</v>
      </c>
    </row>
    <row r="24" spans="1:6">
      <c r="A24" s="2" t="s">
        <v>13</v>
      </c>
      <c r="B24" s="2" t="s">
        <v>14</v>
      </c>
      <c r="C24" s="2" t="s">
        <v>15</v>
      </c>
    </row>
    <row r="25" spans="1:6" ht="38" customHeight="1">
      <c r="A25" s="3" t="s">
        <v>30</v>
      </c>
      <c r="B25" s="3" t="s">
        <v>77</v>
      </c>
      <c r="C25" s="7">
        <f>INDEX(A7:A21,MATCH("cross",F7:F21,0))+ABS(INDEX(E7:E21,MATCH("cross",F7:F21,0)))/INDEX(D7:D21,MATCH("cross",F7:F21,0)+1)</f>
        <v>7.2820559500000002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A15" sqref="A15"/>
    </sheetView>
  </sheetViews>
  <sheetFormatPr defaultColWidth="9" defaultRowHeight="14.5"/>
  <cols>
    <col min="1" max="1" width="13.7265625" customWidth="1"/>
    <col min="2" max="2" width="14.90625" customWidth="1"/>
  </cols>
  <sheetData>
    <row r="1" spans="1:6" ht="18.5">
      <c r="A1" s="1" t="s">
        <v>78</v>
      </c>
    </row>
    <row r="3" spans="1:6">
      <c r="A3" s="2" t="s">
        <v>1</v>
      </c>
      <c r="B3" s="2" t="s">
        <v>2</v>
      </c>
    </row>
    <row r="4" spans="1:6">
      <c r="A4" s="3" t="s">
        <v>72</v>
      </c>
      <c r="B4" s="4">
        <v>0.17</v>
      </c>
    </row>
    <row r="6" spans="1:6" ht="29">
      <c r="A6" s="2" t="s">
        <v>79</v>
      </c>
      <c r="B6" s="2" t="s">
        <v>33</v>
      </c>
      <c r="C6" s="2" t="s">
        <v>9</v>
      </c>
      <c r="D6" s="2" t="s">
        <v>10</v>
      </c>
      <c r="E6" s="2" t="s">
        <v>11</v>
      </c>
      <c r="F6" s="2" t="s">
        <v>74</v>
      </c>
    </row>
    <row r="7" spans="1:6">
      <c r="A7" s="9">
        <v>0</v>
      </c>
      <c r="B7" s="3">
        <v>-100</v>
      </c>
      <c r="C7" s="3">
        <f t="shared" ref="C7:C12" si="0">1/(1+$B$4)^A7</f>
        <v>1</v>
      </c>
      <c r="D7" s="3">
        <f t="shared" ref="D7:D12" si="1">B7*C7</f>
        <v>-100</v>
      </c>
      <c r="E7" s="3">
        <f>D7</f>
        <v>-100</v>
      </c>
      <c r="F7" s="3" t="str">
        <f>IF(AND(E7&lt;0,E8&gt;=0),"cross","")</f>
        <v/>
      </c>
    </row>
    <row r="8" spans="1:6">
      <c r="A8" s="9">
        <v>1</v>
      </c>
      <c r="B8" s="3">
        <v>30</v>
      </c>
      <c r="C8" s="3">
        <f t="shared" si="0"/>
        <v>0.854700854700855</v>
      </c>
      <c r="D8" s="3">
        <f t="shared" si="1"/>
        <v>25.6410256410256</v>
      </c>
      <c r="E8" s="3">
        <f>E7+D8</f>
        <v>-74.358974358974393</v>
      </c>
      <c r="F8" s="3" t="str">
        <f>IF(AND(E8&lt;0,E9&gt;=0),"cross","")</f>
        <v/>
      </c>
    </row>
    <row r="9" spans="1:6">
      <c r="A9" s="9">
        <v>2</v>
      </c>
      <c r="B9" s="3">
        <v>30</v>
      </c>
      <c r="C9" s="3">
        <f t="shared" si="0"/>
        <v>0.73051355102637205</v>
      </c>
      <c r="D9" s="3">
        <f t="shared" si="1"/>
        <v>21.915406530791099</v>
      </c>
      <c r="E9" s="3">
        <f>E8+D9</f>
        <v>-52.443567828183198</v>
      </c>
      <c r="F9" s="3" t="str">
        <f>IF(AND(E9&lt;0,E10&gt;=0),"cross","")</f>
        <v/>
      </c>
    </row>
    <row r="10" spans="1:6">
      <c r="A10" s="9">
        <v>3</v>
      </c>
      <c r="B10" s="3">
        <v>30</v>
      </c>
      <c r="C10" s="3">
        <f t="shared" si="0"/>
        <v>0.62437055643279604</v>
      </c>
      <c r="D10" s="3">
        <f t="shared" si="1"/>
        <v>18.7311166929839</v>
      </c>
      <c r="E10" s="3">
        <f>E9+D10</f>
        <v>-33.712451135199302</v>
      </c>
      <c r="F10" s="3" t="str">
        <f>IF(AND(E10&lt;0,E11&gt;=0),"cross","")</f>
        <v/>
      </c>
    </row>
    <row r="11" spans="1:6">
      <c r="A11" s="9">
        <v>4</v>
      </c>
      <c r="B11" s="3">
        <v>40</v>
      </c>
      <c r="C11" s="3">
        <f t="shared" si="0"/>
        <v>0.53365004823315898</v>
      </c>
      <c r="D11" s="3">
        <f t="shared" si="1"/>
        <v>21.346001929326398</v>
      </c>
      <c r="E11" s="3">
        <f>E10+D11</f>
        <v>-12.366449205873</v>
      </c>
      <c r="F11" s="3" t="str">
        <f>IF(AND(E11&lt;0,E12&gt;=0),"cross","")</f>
        <v>cross</v>
      </c>
    </row>
    <row r="12" spans="1:6">
      <c r="A12" s="9">
        <v>5</v>
      </c>
      <c r="B12" s="3">
        <v>40</v>
      </c>
      <c r="C12" s="3">
        <f t="shared" si="0"/>
        <v>0.456111152336034</v>
      </c>
      <c r="D12" s="3">
        <f t="shared" si="1"/>
        <v>18.244446093441301</v>
      </c>
      <c r="E12" s="3">
        <f>E11+D12</f>
        <v>5.8779968875683899</v>
      </c>
      <c r="F12" s="3" t="s">
        <v>75</v>
      </c>
    </row>
    <row r="14" spans="1:6">
      <c r="A14" s="6" t="s">
        <v>76</v>
      </c>
    </row>
    <row r="15" spans="1:6">
      <c r="A15" s="2" t="s">
        <v>13</v>
      </c>
      <c r="B15" s="2" t="s">
        <v>14</v>
      </c>
      <c r="C15" s="2" t="s">
        <v>15</v>
      </c>
    </row>
    <row r="16" spans="1:6" ht="29">
      <c r="A16" s="3" t="s">
        <v>30</v>
      </c>
      <c r="B16" s="3" t="s">
        <v>77</v>
      </c>
      <c r="C16" s="7">
        <f>INDEX(A7:A12,MATCH("cross",F7:F12,0))+ABS(INDEX(E7:E12,MATCH("cross",F7:F12,0)))/INDEX(D7:D12,MATCH("cross",F7:F12,0)+1)</f>
        <v>4.6778199317500002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A8" sqref="A8"/>
    </sheetView>
  </sheetViews>
  <sheetFormatPr defaultColWidth="9" defaultRowHeight="14.5"/>
  <cols>
    <col min="1" max="1" width="13" customWidth="1"/>
    <col min="2" max="2" width="12.90625" customWidth="1"/>
    <col min="4" max="4" width="17.26953125" customWidth="1"/>
  </cols>
  <sheetData>
    <row r="1" spans="1:4" ht="18.5">
      <c r="A1" s="1" t="s">
        <v>80</v>
      </c>
    </row>
    <row r="3" spans="1:4" ht="43.5">
      <c r="A3" s="2" t="s">
        <v>81</v>
      </c>
      <c r="B3" s="2" t="s">
        <v>82</v>
      </c>
      <c r="C3" s="2" t="s">
        <v>83</v>
      </c>
      <c r="D3" s="2" t="s">
        <v>84</v>
      </c>
    </row>
    <row r="4" spans="1:4">
      <c r="A4" s="3">
        <v>100</v>
      </c>
      <c r="B4" s="3" t="s">
        <v>85</v>
      </c>
      <c r="C4" s="7">
        <f>A4*(1+0.17)</f>
        <v>117</v>
      </c>
      <c r="D4" s="3" t="s">
        <v>86</v>
      </c>
    </row>
    <row r="5" spans="1:4" ht="29" customHeight="1">
      <c r="A5" s="3">
        <v>300</v>
      </c>
      <c r="B5" s="3" t="s">
        <v>87</v>
      </c>
      <c r="C5" s="7">
        <f>A5/(1+0.17)^2</f>
        <v>219.15406530791199</v>
      </c>
      <c r="D5" s="3" t="s">
        <v>88</v>
      </c>
    </row>
    <row r="7" spans="1:4">
      <c r="A7" s="6" t="s">
        <v>89</v>
      </c>
    </row>
    <row r="8" spans="1:4">
      <c r="A8" s="2" t="s">
        <v>13</v>
      </c>
      <c r="B8" s="2" t="s">
        <v>14</v>
      </c>
      <c r="C8" s="2" t="s">
        <v>15</v>
      </c>
    </row>
    <row r="9" spans="1:4" ht="29">
      <c r="A9" s="3" t="s">
        <v>90</v>
      </c>
      <c r="B9" s="3" t="s">
        <v>91</v>
      </c>
      <c r="C9" s="7">
        <f>C4+C5</f>
        <v>336.15406530791199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zoomScale="85" zoomScaleNormal="85" workbookViewId="0">
      <selection activeCell="I6" sqref="I6"/>
    </sheetView>
  </sheetViews>
  <sheetFormatPr defaultColWidth="9" defaultRowHeight="14.5"/>
  <cols>
    <col min="1" max="1" width="18.08984375" customWidth="1"/>
    <col min="2" max="2" width="25.453125" customWidth="1"/>
  </cols>
  <sheetData>
    <row r="1" spans="1:8" ht="18.5">
      <c r="A1" s="1" t="s">
        <v>92</v>
      </c>
    </row>
    <row r="3" spans="1:8" ht="43.5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</row>
    <row r="4" spans="1:8">
      <c r="A4" s="8" t="s">
        <v>101</v>
      </c>
      <c r="B4" s="3">
        <v>2</v>
      </c>
      <c r="C4" s="3">
        <v>5</v>
      </c>
      <c r="D4" s="3">
        <v>4</v>
      </c>
      <c r="E4" s="3">
        <v>3</v>
      </c>
      <c r="F4" s="3">
        <v>1</v>
      </c>
      <c r="G4" s="3">
        <v>3</v>
      </c>
      <c r="H4" s="3">
        <f>SUM(B4:G4)</f>
        <v>18</v>
      </c>
    </row>
    <row r="6" spans="1:8" ht="43.5">
      <c r="A6" s="2" t="s">
        <v>36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99</v>
      </c>
      <c r="H6" s="2" t="s">
        <v>102</v>
      </c>
    </row>
    <row r="7" spans="1:8">
      <c r="A7" s="8" t="s">
        <v>39</v>
      </c>
      <c r="B7" s="3">
        <v>9</v>
      </c>
      <c r="C7" s="3">
        <v>5</v>
      </c>
      <c r="D7" s="3">
        <v>2</v>
      </c>
      <c r="E7" s="3">
        <v>0</v>
      </c>
      <c r="F7" s="3">
        <v>2</v>
      </c>
      <c r="G7" s="3">
        <v>5</v>
      </c>
      <c r="H7" s="3">
        <f>SUMPRODUCT(B7:G7,B4:G4)</f>
        <v>68</v>
      </c>
    </row>
    <row r="8" spans="1:8">
      <c r="A8" s="8" t="s">
        <v>40</v>
      </c>
      <c r="B8" s="3">
        <v>2</v>
      </c>
      <c r="C8" s="3">
        <v>6</v>
      </c>
      <c r="D8" s="3">
        <v>2</v>
      </c>
      <c r="E8" s="3">
        <v>1</v>
      </c>
      <c r="F8" s="3">
        <v>5</v>
      </c>
      <c r="G8" s="3">
        <v>1</v>
      </c>
      <c r="H8" s="3">
        <f>SUMPRODUCT(B8:G8,B4:G4)</f>
        <v>53</v>
      </c>
    </row>
    <row r="9" spans="1:8">
      <c r="A9" s="8" t="s">
        <v>103</v>
      </c>
      <c r="B9" s="3">
        <v>6</v>
      </c>
      <c r="C9" s="3">
        <v>8</v>
      </c>
      <c r="D9" s="3">
        <v>9</v>
      </c>
      <c r="E9" s="3">
        <v>6</v>
      </c>
      <c r="F9" s="3">
        <v>2</v>
      </c>
      <c r="G9" s="3">
        <v>5</v>
      </c>
      <c r="H9" s="3">
        <f>SUMPRODUCT(B9:G9,B4:G4)</f>
        <v>123</v>
      </c>
    </row>
    <row r="10" spans="1:8">
      <c r="A10" s="8" t="s">
        <v>104</v>
      </c>
      <c r="B10" s="3">
        <v>1</v>
      </c>
      <c r="C10" s="3">
        <v>4</v>
      </c>
      <c r="D10" s="3">
        <v>2</v>
      </c>
      <c r="E10" s="3">
        <v>10</v>
      </c>
      <c r="F10" s="3">
        <v>5</v>
      </c>
      <c r="G10" s="3">
        <v>1</v>
      </c>
      <c r="H10" s="3">
        <f>SUMPRODUCT(B10:G10,B4:G4)</f>
        <v>68</v>
      </c>
    </row>
    <row r="11" spans="1:8">
      <c r="A11" s="8" t="s">
        <v>105</v>
      </c>
      <c r="B11" s="3">
        <v>3</v>
      </c>
      <c r="C11" s="3">
        <v>10</v>
      </c>
      <c r="D11" s="3">
        <v>9</v>
      </c>
      <c r="E11" s="3">
        <v>10</v>
      </c>
      <c r="F11" s="3">
        <v>2</v>
      </c>
      <c r="G11" s="3">
        <v>8</v>
      </c>
      <c r="H11" s="3">
        <f>SUMPRODUCT(B11:G11,B4:G4)</f>
        <v>148</v>
      </c>
    </row>
    <row r="13" spans="1:8">
      <c r="A13" s="6" t="s">
        <v>76</v>
      </c>
    </row>
    <row r="14" spans="1:8">
      <c r="A14" s="2" t="s">
        <v>13</v>
      </c>
      <c r="B14" s="2" t="s">
        <v>14</v>
      </c>
      <c r="C14" s="2" t="s">
        <v>15</v>
      </c>
    </row>
    <row r="15" spans="1:8" ht="32.5" customHeight="1">
      <c r="A15" s="3" t="s">
        <v>106</v>
      </c>
      <c r="B15" s="3" t="s">
        <v>107</v>
      </c>
      <c r="C15" s="3" t="str">
        <f>INDEX(A7:A11,MATCH(MAX(H7:H11),H7:H11,0))</f>
        <v>Dự án 5</v>
      </c>
    </row>
    <row r="16" spans="1:8" ht="35" customHeight="1">
      <c r="A16" s="3" t="s">
        <v>108</v>
      </c>
      <c r="B16" s="3" t="s">
        <v>107</v>
      </c>
      <c r="C16" s="3" t="str">
        <f>INDEX(A7:A11,MATCH(MIN(H7:H11),H7:H11,0))</f>
        <v>Dự án 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A8" sqref="A8"/>
    </sheetView>
  </sheetViews>
  <sheetFormatPr defaultColWidth="9" defaultRowHeight="14.5"/>
  <cols>
    <col min="2" max="2" width="14.54296875" customWidth="1"/>
    <col min="3" max="4" width="20.08984375" customWidth="1"/>
  </cols>
  <sheetData>
    <row r="1" spans="1:3" ht="18.5">
      <c r="A1" s="1" t="s">
        <v>109</v>
      </c>
    </row>
    <row r="3" spans="1:3">
      <c r="A3" s="2" t="s">
        <v>110</v>
      </c>
      <c r="B3" s="2" t="s">
        <v>2</v>
      </c>
      <c r="C3" s="2" t="s">
        <v>111</v>
      </c>
    </row>
    <row r="4" spans="1:3">
      <c r="A4" s="3" t="s">
        <v>65</v>
      </c>
      <c r="B4" s="3">
        <v>25</v>
      </c>
      <c r="C4" s="3" t="s">
        <v>112</v>
      </c>
    </row>
    <row r="5" spans="1:3" ht="19" customHeight="1">
      <c r="A5" s="3" t="s">
        <v>113</v>
      </c>
      <c r="B5" s="3">
        <v>12</v>
      </c>
      <c r="C5" s="3" t="s">
        <v>114</v>
      </c>
    </row>
    <row r="6" spans="1:3" ht="22" customHeight="1">
      <c r="A6" s="3" t="s">
        <v>115</v>
      </c>
      <c r="B6" s="4">
        <v>1.4999999999999999E-2</v>
      </c>
      <c r="C6" s="3" t="s">
        <v>116</v>
      </c>
    </row>
    <row r="8" spans="1:3">
      <c r="A8" s="6" t="s">
        <v>76</v>
      </c>
    </row>
    <row r="9" spans="1:3">
      <c r="A9" s="2" t="s">
        <v>13</v>
      </c>
      <c r="B9" s="2" t="s">
        <v>14</v>
      </c>
      <c r="C9" s="2" t="s">
        <v>15</v>
      </c>
    </row>
    <row r="10" spans="1:3" ht="29">
      <c r="A10" s="3" t="s">
        <v>117</v>
      </c>
      <c r="B10" s="3" t="s">
        <v>118</v>
      </c>
      <c r="C10" s="7">
        <f>B4*((1-(1+B6)^(-B5))/B6)</f>
        <v>272.68763017433997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"/>
  <sheetViews>
    <sheetView tabSelected="1" zoomScale="70" zoomScaleNormal="70" workbookViewId="0">
      <selection activeCell="D8" sqref="D8"/>
    </sheetView>
  </sheetViews>
  <sheetFormatPr defaultColWidth="9" defaultRowHeight="14.5"/>
  <cols>
    <col min="1" max="1" width="13.6328125" customWidth="1"/>
    <col min="2" max="2" width="20.36328125" customWidth="1"/>
    <col min="3" max="3" width="26.08984375" customWidth="1"/>
  </cols>
  <sheetData>
    <row r="1" spans="1:3" ht="18.5">
      <c r="A1" s="1" t="s">
        <v>119</v>
      </c>
    </row>
    <row r="3" spans="1:3">
      <c r="A3" s="2" t="s">
        <v>120</v>
      </c>
      <c r="B3" s="2" t="s">
        <v>2</v>
      </c>
      <c r="C3" s="2" t="s">
        <v>111</v>
      </c>
    </row>
    <row r="4" spans="1:3" ht="19" customHeight="1">
      <c r="A4" s="3" t="s">
        <v>121</v>
      </c>
      <c r="B4" s="3">
        <v>100</v>
      </c>
      <c r="C4" s="3" t="s">
        <v>122</v>
      </c>
    </row>
    <row r="5" spans="1:3">
      <c r="A5" s="3" t="s">
        <v>115</v>
      </c>
      <c r="B5" s="4">
        <v>0.12</v>
      </c>
      <c r="C5" s="3" t="s">
        <v>123</v>
      </c>
    </row>
    <row r="6" spans="1:3" ht="23" customHeight="1">
      <c r="A6" s="3" t="s">
        <v>124</v>
      </c>
      <c r="B6" s="3">
        <v>7</v>
      </c>
      <c r="C6" s="3" t="s">
        <v>125</v>
      </c>
    </row>
    <row r="7" spans="1:3">
      <c r="A7" s="3" t="s">
        <v>126</v>
      </c>
      <c r="B7" s="3">
        <v>10</v>
      </c>
      <c r="C7" s="3" t="s">
        <v>127</v>
      </c>
    </row>
    <row r="8" spans="1:3" ht="23" customHeight="1">
      <c r="A8" s="3" t="s">
        <v>128</v>
      </c>
      <c r="B8" s="3">
        <v>5</v>
      </c>
      <c r="C8" s="3" t="s">
        <v>129</v>
      </c>
    </row>
    <row r="10" spans="1:3">
      <c r="A10" s="5" t="s">
        <v>130</v>
      </c>
    </row>
    <row r="11" spans="1:3">
      <c r="A11" s="2" t="s">
        <v>131</v>
      </c>
      <c r="B11" s="2" t="s">
        <v>132</v>
      </c>
      <c r="C11" s="2" t="s">
        <v>2</v>
      </c>
    </row>
    <row r="12" spans="1:3">
      <c r="A12" s="3" t="s">
        <v>133</v>
      </c>
      <c r="B12" s="3">
        <f>(1+$B$5)^$B$6</f>
        <v>2.2106814074060801</v>
      </c>
      <c r="C12" s="3">
        <f>(1+$B$5)^$B$6</f>
        <v>2.2106814074060801</v>
      </c>
    </row>
    <row r="13" spans="1:3" ht="29">
      <c r="A13" s="3" t="s">
        <v>134</v>
      </c>
      <c r="B13" s="3">
        <f>((1+$B$5)^$B$6-1)/$B$5</f>
        <v>10.089011728384</v>
      </c>
      <c r="C13" s="3">
        <f>((1+$B$5)^$B$6-1)/$B$5</f>
        <v>10.089011728384</v>
      </c>
    </row>
    <row r="14" spans="1:3">
      <c r="A14" s="3" t="s">
        <v>135</v>
      </c>
      <c r="B14" s="3">
        <f>$B$4*C12-$B$7*C13</f>
        <v>120.178023456768</v>
      </c>
      <c r="C14" s="3">
        <f>$B$4*C12-$B$7*C13</f>
        <v>120.178023456768</v>
      </c>
    </row>
    <row r="15" spans="1:3" ht="38" customHeight="1">
      <c r="A15" s="3" t="s">
        <v>136</v>
      </c>
      <c r="B15" s="3">
        <f>((1+$B$5)^$B$8-1)/($B$5*(1+$B$5)^$B$8)</f>
        <v>3.6047762023450098</v>
      </c>
      <c r="C15" s="3">
        <f>((1+$B$5)^$B$8-1)/($B$5*(1+$B$5)^$B$8)</f>
        <v>3.6047762023450098</v>
      </c>
    </row>
    <row r="17" spans="1:3">
      <c r="A17" s="6" t="s">
        <v>76</v>
      </c>
    </row>
    <row r="18" spans="1:3">
      <c r="A18" s="2" t="s">
        <v>13</v>
      </c>
      <c r="B18" s="2" t="s">
        <v>14</v>
      </c>
      <c r="C18" s="2" t="s">
        <v>15</v>
      </c>
    </row>
    <row r="19" spans="1:3" ht="29">
      <c r="A19" s="3" t="s">
        <v>137</v>
      </c>
      <c r="B19" s="3" t="s">
        <v>138</v>
      </c>
      <c r="C19" s="7">
        <f>C14</f>
        <v>120.178023456768</v>
      </c>
    </row>
    <row r="20" spans="1:3" ht="65" customHeight="1">
      <c r="A20" s="3" t="s">
        <v>139</v>
      </c>
      <c r="B20" s="3" t="s">
        <v>140</v>
      </c>
      <c r="C20" s="7">
        <f>C14/C15</f>
        <v>33.338553272347099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  <vt:lpstr>Bài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Trần Minh Nhật</cp:lastModifiedBy>
  <dcterms:created xsi:type="dcterms:W3CDTF">2025-09-20T14:51:00Z</dcterms:created>
  <dcterms:modified xsi:type="dcterms:W3CDTF">2025-09-20T16:46:39Z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DB757211E62942A2823F3A9C7CCEE279_12</vt:lpwstr>
  </property>
  <property fmtid="{D5CDD505-2E9C-101B-9397-08002B2CF9AE}" pid="3" name="KSOProductBuildVer">
    <vt:lpwstr>1033-12.2.0.22549</vt:lpwstr>
  </property>
</Properties>
</file>